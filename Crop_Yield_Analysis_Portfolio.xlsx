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aw Data" sheetId="1" state="visible" r:id="rId3"/>
    <sheet name="Analysis" sheetId="2" state="visible" r:id="rId4"/>
    <sheet name="Charts" sheetId="3" state="visible" r:id="rId5"/>
    <sheet name="Summar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<sst xmlns="http://schemas.openxmlformats.org/spreadsheetml/2006/main" count="404" uniqueCount="41">
  <si>
    <t xml:space="preserve">ID</t>
  </si>
  <si>
    <t xml:space="preserve">Crop</t>
  </si>
  <si>
    <t xml:space="preserve">Region</t>
  </si>
  <si>
    <t xml:space="preserve">Soil_Quality_Index</t>
  </si>
  <si>
    <t xml:space="preserve">Rainfall_mm</t>
  </si>
  <si>
    <t xml:space="preserve">Avg_Temp_C</t>
  </si>
  <si>
    <t xml:space="preserve">Fertilizer_kg_per_hectare</t>
  </si>
  <si>
    <t xml:space="preserve">Yield_kg_per_hectare</t>
  </si>
  <si>
    <t xml:space="preserve">Rice</t>
  </si>
  <si>
    <t xml:space="preserve">Pahang</t>
  </si>
  <si>
    <t xml:space="preserve">Corn</t>
  </si>
  <si>
    <t xml:space="preserve">Johor</t>
  </si>
  <si>
    <t xml:space="preserve">Selangor</t>
  </si>
  <si>
    <t xml:space="preserve">Durian</t>
  </si>
  <si>
    <t xml:space="preserve">Palm Oil</t>
  </si>
  <si>
    <t xml:space="preserve">Banana</t>
  </si>
  <si>
    <t xml:space="preserve">Melaka</t>
  </si>
  <si>
    <t xml:space="preserve">Average Yield by Crop (kg/hectare)</t>
  </si>
  <si>
    <t xml:space="preserve">Avg Yield (kg/ha)</t>
  </si>
  <si>
    <t xml:space="preserve">Avg Soil Quality</t>
  </si>
  <si>
    <t xml:space="preserve">Avg Fertilizer Used</t>
  </si>
  <si>
    <t xml:space="preserve">Average Yield by Region (kg/hectare)</t>
  </si>
  <si>
    <t xml:space="preserve">Key Statistics (All Crops)</t>
  </si>
  <si>
    <t xml:space="preserve">Overall Avg Yield (kg/ha)</t>
  </si>
  <si>
    <t xml:space="preserve">Max Yield (kg/ha)</t>
  </si>
  <si>
    <t xml:space="preserve">Min Yield (kg/ha)</t>
  </si>
  <si>
    <t xml:space="preserve">Correlation: Soil Quality vs Yield</t>
  </si>
  <si>
    <t xml:space="preserve">Correlation: Fertilizer vs Yield</t>
  </si>
  <si>
    <t xml:space="preserve">Correlation: Rainfall vs Yield</t>
  </si>
  <si>
    <t xml:space="preserve">Portfolio Project: Crop Yield Analysis</t>
  </si>
  <si>
    <t xml:space="preserve">Project Overview</t>
  </si>
  <si>
    <t xml:space="preserve">Analyzed 180 simulated crop trial records across 5 crop types and 4 Malaysian regions to identify which environmental and management factors most influence agricultural yield.</t>
  </si>
  <si>
    <t xml:space="preserve">Key Insights</t>
  </si>
  <si>
    <t xml:space="preserve">- See Analysis tab for exact figures: average yield varies by crop type, with correlations calculated for soil quality, fertilizer use, and rainfall against yield.</t>
  </si>
  <si>
    <t xml:space="preserve">- Soil quality shows a measurable positive correlation with yield (see Analysis!B25) - consistent with agronomic principles from crop trial work.</t>
  </si>
  <si>
    <t xml:space="preserve">- Fertilizer application also correlates with yield, suggesting input management is a key lever alongside natural soil and climate conditions.</t>
  </si>
  <si>
    <t xml:space="preserve">- Regional breakdown highlights which areas produce above-average yields, useful for resource allocation decisions.</t>
  </si>
  <si>
    <t xml:space="preserve">Methodology</t>
  </si>
  <si>
    <t xml:space="preserve">Data cleaned and structured in the Raw Data tab. Summary statistics and correlations calculated using AVERAGEIF and CORREL formulas in the Analysis tab. Findings visualized using bar and scatter charts in the Charts tab.</t>
  </si>
  <si>
    <t xml:space="preserve">Note</t>
  </si>
  <si>
    <t xml:space="preserve">This dataset is synthetically generated for portfolio-building purposes and does not represent real farm records.</t>
  </si>
</sst>
</file>

<file path=xl/styles.xml><?xml version="1.0" encoding="utf-8"?>
<styleSheet xmlns="http://schemas.openxmlformats.org/spreadsheetml/2006/main">
  <numFmts count="3">
    <numFmt numFmtId="164" formatCode="General"/>
    <numFmt numFmtId="165" formatCode="#,##0.0"/>
    <numFmt numFmtId="166" formatCode="#,##0.00"/>
  </numFmts>
  <fonts count="13">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1"/>
      <name val="Arial"/>
      <family val="0"/>
      <charset val="1"/>
    </font>
    <font>
      <b val="true"/>
      <sz val="12"/>
      <name val="Arial"/>
      <family val="0"/>
      <charset val="1"/>
    </font>
    <font>
      <b val="true"/>
      <sz val="11"/>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4"/>
      <name val="Arial"/>
      <family val="0"/>
      <charset val="1"/>
    </font>
    <font>
      <i val="true"/>
      <sz val="11"/>
      <name val="Arial"/>
      <family val="0"/>
      <charset val="1"/>
    </font>
  </fonts>
  <fills count="4">
    <fill>
      <patternFill patternType="none"/>
    </fill>
    <fill>
      <patternFill patternType="gray125"/>
    </fill>
    <fill>
      <patternFill patternType="solid">
        <fgColor rgb="FF2E7D32"/>
        <bgColor rgb="FF008000"/>
      </patternFill>
    </fill>
    <fill>
      <patternFill patternType="solid">
        <fgColor rgb="FFC8E6C9"/>
        <bgColor rgb="FFD9D9D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8E6C9"/>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2E7D32"/>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Yield by Crop</a:t>
            </a:r>
          </a:p>
        </c:rich>
      </c:tx>
      <c:overlay val="0"/>
      <c:spPr>
        <a:noFill/>
        <a:ln w="0">
          <a:noFill/>
        </a:ln>
      </c:spPr>
    </c:title>
    <c:autoTitleDeleted val="0"/>
    <c:plotArea>
      <c:barChart>
        <c:barDir val="col"/>
        <c:grouping val="clustered"/>
        <c:varyColors val="0"/>
        <c:ser>
          <c:idx val="0"/>
          <c:order val="0"/>
          <c:tx>
            <c:strRef>
              <c:f>Analysis!B3</c:f>
              <c:strCache>
                <c:ptCount val="1"/>
                <c:pt idx="0">
                  <c:v>Avg Yield (kg/ha)</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Analysis!$A$4:$A$8</c:f>
              <c:strCache>
                <c:ptCount val="5"/>
                <c:pt idx="0">
                  <c:v>Rice</c:v>
                </c:pt>
                <c:pt idx="1">
                  <c:v>Palm Oil</c:v>
                </c:pt>
                <c:pt idx="2">
                  <c:v>Durian</c:v>
                </c:pt>
                <c:pt idx="3">
                  <c:v>Banana</c:v>
                </c:pt>
                <c:pt idx="4">
                  <c:v>Corn</c:v>
                </c:pt>
              </c:strCache>
            </c:strRef>
          </c:cat>
          <c:val>
            <c:numRef>
              <c:f>Analysis!$B$4:$B$8</c:f>
              <c:numCache>
                <c:formatCode>#,##0.0</c:formatCode>
                <c:ptCount val="5"/>
                <c:pt idx="0">
                  <c:v>2483.03783783784</c:v>
                </c:pt>
                <c:pt idx="1">
                  <c:v>2379.71875</c:v>
                </c:pt>
                <c:pt idx="2">
                  <c:v>2355.16</c:v>
                </c:pt>
                <c:pt idx="3">
                  <c:v>2391.35714285714</c:v>
                </c:pt>
                <c:pt idx="4">
                  <c:v>2396.32682926829</c:v>
                </c:pt>
              </c:numCache>
            </c:numRef>
          </c:val>
        </c:ser>
        <c:gapWidth val="150"/>
        <c:overlap val="0"/>
        <c:axId val="79026353"/>
        <c:axId val="82455580"/>
      </c:barChart>
      <c:catAx>
        <c:axId val="7902635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Crop</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2455580"/>
        <c:crosses val="autoZero"/>
        <c:auto val="1"/>
        <c:lblAlgn val="ctr"/>
        <c:lblOffset val="100"/>
        <c:noMultiLvlLbl val="0"/>
      </c:catAx>
      <c:valAx>
        <c:axId val="8245558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Yield (kg/hectare)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02635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Yield by Region</a:t>
            </a:r>
          </a:p>
        </c:rich>
      </c:tx>
      <c:overlay val="0"/>
      <c:spPr>
        <a:noFill/>
        <a:ln w="0">
          <a:noFill/>
        </a:ln>
      </c:spPr>
    </c:title>
    <c:autoTitleDeleted val="0"/>
    <c:plotArea>
      <c:barChart>
        <c:barDir val="col"/>
        <c:grouping val="clustered"/>
        <c:varyColors val="0"/>
        <c:ser>
          <c:idx val="0"/>
          <c:order val="0"/>
          <c:tx>
            <c:strRef>
              <c:f>Analysis!B13</c:f>
              <c:strCache>
                <c:ptCount val="1"/>
                <c:pt idx="0">
                  <c:v>Avg Yield (kg/ha)</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Analysis!$A$14:$A$17</c:f>
              <c:strCache>
                <c:ptCount val="4"/>
                <c:pt idx="0">
                  <c:v>Pahang</c:v>
                </c:pt>
                <c:pt idx="1">
                  <c:v>Johor</c:v>
                </c:pt>
                <c:pt idx="2">
                  <c:v>Melaka</c:v>
                </c:pt>
                <c:pt idx="3">
                  <c:v>Selangor</c:v>
                </c:pt>
              </c:strCache>
            </c:strRef>
          </c:cat>
          <c:val>
            <c:numRef>
              <c:f>Analysis!$B$14:$B$17</c:f>
              <c:numCache>
                <c:formatCode>#,##0.0</c:formatCode>
                <c:ptCount val="4"/>
                <c:pt idx="0">
                  <c:v>2354.292</c:v>
                </c:pt>
                <c:pt idx="1">
                  <c:v>2430.70638297872</c:v>
                </c:pt>
                <c:pt idx="2">
                  <c:v>2337.97631578947</c:v>
                </c:pt>
                <c:pt idx="3">
                  <c:v>2480</c:v>
                </c:pt>
              </c:numCache>
            </c:numRef>
          </c:val>
        </c:ser>
        <c:gapWidth val="150"/>
        <c:overlap val="0"/>
        <c:axId val="30866552"/>
        <c:axId val="32730408"/>
      </c:barChart>
      <c:catAx>
        <c:axId val="3086655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Region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730408"/>
        <c:crosses val="autoZero"/>
        <c:auto val="1"/>
        <c:lblAlgn val="ctr"/>
        <c:lblOffset val="100"/>
        <c:noMultiLvlLbl val="0"/>
      </c:catAx>
      <c:valAx>
        <c:axId val="3273040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Yield (kg/hectare)</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86655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Soil Quality vs Yield</a:t>
            </a:r>
          </a:p>
        </c:rich>
      </c:tx>
      <c:overlay val="0"/>
      <c:spPr>
        <a:noFill/>
        <a:ln w="0">
          <a:noFill/>
        </a:ln>
      </c:spPr>
    </c:title>
    <c:autoTitleDeleted val="0"/>
    <c:plotArea>
      <c:scatterChart>
        <c:scatterStyle val="lineMarker"/>
        <c:varyColors val="0"/>
        <c:ser>
          <c:idx val="0"/>
          <c:order val="0"/>
          <c:tx>
            <c:strRef>
              <c:f>"Yield vs Soil Quality"</c:f>
              <c:strCache>
                <c:ptCount val="1"/>
                <c:pt idx="0">
                  <c:v>Yield vs Soil Quality</c:v>
                </c:pt>
              </c:strCache>
            </c:strRef>
          </c:tx>
          <c:spPr>
            <a:solidFill>
              <a:srgbClr val="ffffff"/>
            </a:solidFill>
            <a:ln w="28440">
              <a:noFill/>
            </a:ln>
          </c:spPr>
          <c:marker>
            <c:symbol val="circle"/>
            <c:size val="5"/>
            <c:spPr>
              <a:no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'Raw Data'!$D$2:$D$181</c:f>
              <c:numCache>
                <c:formatCode>General</c:formatCode>
                <c:ptCount val="180"/>
                <c:pt idx="0">
                  <c:v>86.9</c:v>
                </c:pt>
                <c:pt idx="1">
                  <c:v>80.4</c:v>
                </c:pt>
                <c:pt idx="2">
                  <c:v>85.8</c:v>
                </c:pt>
                <c:pt idx="3">
                  <c:v>85</c:v>
                </c:pt>
                <c:pt idx="4">
                  <c:v>59.2</c:v>
                </c:pt>
                <c:pt idx="5">
                  <c:v>96.8</c:v>
                </c:pt>
                <c:pt idx="6">
                  <c:v>85.3</c:v>
                </c:pt>
                <c:pt idx="7">
                  <c:v>71.3</c:v>
                </c:pt>
                <c:pt idx="8">
                  <c:v>81.2</c:v>
                </c:pt>
                <c:pt idx="9">
                  <c:v>84.4</c:v>
                </c:pt>
                <c:pt idx="10">
                  <c:v>66.5</c:v>
                </c:pt>
                <c:pt idx="11">
                  <c:v>93</c:v>
                </c:pt>
                <c:pt idx="12">
                  <c:v>87.1</c:v>
                </c:pt>
                <c:pt idx="13">
                  <c:v>58.9</c:v>
                </c:pt>
                <c:pt idx="14">
                  <c:v>71.5</c:v>
                </c:pt>
                <c:pt idx="15">
                  <c:v>84.3</c:v>
                </c:pt>
                <c:pt idx="16">
                  <c:v>74.5</c:v>
                </c:pt>
                <c:pt idx="17">
                  <c:v>92.4</c:v>
                </c:pt>
                <c:pt idx="18">
                  <c:v>80.8</c:v>
                </c:pt>
                <c:pt idx="19">
                  <c:v>57.5</c:v>
                </c:pt>
                <c:pt idx="20">
                  <c:v>60.5</c:v>
                </c:pt>
                <c:pt idx="21">
                  <c:v>94.9</c:v>
                </c:pt>
                <c:pt idx="22">
                  <c:v>93.7</c:v>
                </c:pt>
                <c:pt idx="23">
                  <c:v>80.3</c:v>
                </c:pt>
                <c:pt idx="24">
                  <c:v>58</c:v>
                </c:pt>
                <c:pt idx="25">
                  <c:v>65.4</c:v>
                </c:pt>
                <c:pt idx="26">
                  <c:v>72.7</c:v>
                </c:pt>
                <c:pt idx="27">
                  <c:v>86.3</c:v>
                </c:pt>
                <c:pt idx="28">
                  <c:v>62.9</c:v>
                </c:pt>
                <c:pt idx="29">
                  <c:v>57.2</c:v>
                </c:pt>
                <c:pt idx="30">
                  <c:v>72.5</c:v>
                </c:pt>
                <c:pt idx="31">
                  <c:v>66.4</c:v>
                </c:pt>
                <c:pt idx="32">
                  <c:v>61.7</c:v>
                </c:pt>
                <c:pt idx="33">
                  <c:v>57.2</c:v>
                </c:pt>
                <c:pt idx="34">
                  <c:v>91.6</c:v>
                </c:pt>
                <c:pt idx="35">
                  <c:v>79.9</c:v>
                </c:pt>
                <c:pt idx="36">
                  <c:v>63.8</c:v>
                </c:pt>
                <c:pt idx="37">
                  <c:v>68.6</c:v>
                </c:pt>
                <c:pt idx="38">
                  <c:v>78.1</c:v>
                </c:pt>
                <c:pt idx="39">
                  <c:v>67.3</c:v>
                </c:pt>
                <c:pt idx="40">
                  <c:v>83.7</c:v>
                </c:pt>
                <c:pt idx="41">
                  <c:v>93.3</c:v>
                </c:pt>
                <c:pt idx="42">
                  <c:v>84.6</c:v>
                </c:pt>
                <c:pt idx="43">
                  <c:v>82.3</c:v>
                </c:pt>
                <c:pt idx="44">
                  <c:v>86.9</c:v>
                </c:pt>
                <c:pt idx="45">
                  <c:v>90.9</c:v>
                </c:pt>
                <c:pt idx="46">
                  <c:v>64</c:v>
                </c:pt>
                <c:pt idx="47">
                  <c:v>94.8</c:v>
                </c:pt>
                <c:pt idx="48">
                  <c:v>62.7</c:v>
                </c:pt>
                <c:pt idx="49">
                  <c:v>61.8</c:v>
                </c:pt>
                <c:pt idx="50">
                  <c:v>70</c:v>
                </c:pt>
                <c:pt idx="51">
                  <c:v>67</c:v>
                </c:pt>
                <c:pt idx="52">
                  <c:v>95.4</c:v>
                </c:pt>
                <c:pt idx="53">
                  <c:v>59.7</c:v>
                </c:pt>
                <c:pt idx="54">
                  <c:v>71.6</c:v>
                </c:pt>
                <c:pt idx="55">
                  <c:v>70.7</c:v>
                </c:pt>
                <c:pt idx="56">
                  <c:v>76.8</c:v>
                </c:pt>
                <c:pt idx="57">
                  <c:v>83.6</c:v>
                </c:pt>
                <c:pt idx="58">
                  <c:v>68.1</c:v>
                </c:pt>
                <c:pt idx="59">
                  <c:v>84.1</c:v>
                </c:pt>
                <c:pt idx="60">
                  <c:v>77.2</c:v>
                </c:pt>
                <c:pt idx="61">
                  <c:v>89.7</c:v>
                </c:pt>
                <c:pt idx="62">
                  <c:v>72.8</c:v>
                </c:pt>
                <c:pt idx="63">
                  <c:v>83.2</c:v>
                </c:pt>
                <c:pt idx="64">
                  <c:v>62.6</c:v>
                </c:pt>
                <c:pt idx="65">
                  <c:v>60.7</c:v>
                </c:pt>
                <c:pt idx="66">
                  <c:v>90.7</c:v>
                </c:pt>
                <c:pt idx="67">
                  <c:v>91.1</c:v>
                </c:pt>
                <c:pt idx="68">
                  <c:v>85.7</c:v>
                </c:pt>
                <c:pt idx="69">
                  <c:v>71.5</c:v>
                </c:pt>
                <c:pt idx="70">
                  <c:v>57.7</c:v>
                </c:pt>
                <c:pt idx="71">
                  <c:v>75.5</c:v>
                </c:pt>
                <c:pt idx="72">
                  <c:v>76</c:v>
                </c:pt>
                <c:pt idx="73">
                  <c:v>91.1</c:v>
                </c:pt>
                <c:pt idx="74">
                  <c:v>58.6</c:v>
                </c:pt>
                <c:pt idx="75">
                  <c:v>74.6</c:v>
                </c:pt>
                <c:pt idx="76">
                  <c:v>90.9</c:v>
                </c:pt>
                <c:pt idx="77">
                  <c:v>88.6</c:v>
                </c:pt>
                <c:pt idx="78">
                  <c:v>65.3</c:v>
                </c:pt>
                <c:pt idx="79">
                  <c:v>62.2</c:v>
                </c:pt>
                <c:pt idx="80">
                  <c:v>79.9</c:v>
                </c:pt>
                <c:pt idx="81">
                  <c:v>80.5</c:v>
                </c:pt>
                <c:pt idx="82">
                  <c:v>89.2</c:v>
                </c:pt>
                <c:pt idx="83">
                  <c:v>55.5</c:v>
                </c:pt>
                <c:pt idx="84">
                  <c:v>73.7</c:v>
                </c:pt>
                <c:pt idx="85">
                  <c:v>75</c:v>
                </c:pt>
                <c:pt idx="86">
                  <c:v>92.9</c:v>
                </c:pt>
                <c:pt idx="87">
                  <c:v>91.6</c:v>
                </c:pt>
                <c:pt idx="88">
                  <c:v>78.9</c:v>
                </c:pt>
                <c:pt idx="89">
                  <c:v>84.7</c:v>
                </c:pt>
                <c:pt idx="90">
                  <c:v>84.7</c:v>
                </c:pt>
                <c:pt idx="91">
                  <c:v>70.1</c:v>
                </c:pt>
                <c:pt idx="92">
                  <c:v>86.9</c:v>
                </c:pt>
                <c:pt idx="93">
                  <c:v>97.2</c:v>
                </c:pt>
                <c:pt idx="94">
                  <c:v>66.8</c:v>
                </c:pt>
                <c:pt idx="95">
                  <c:v>92.5</c:v>
                </c:pt>
                <c:pt idx="96">
                  <c:v>95.5</c:v>
                </c:pt>
                <c:pt idx="97">
                  <c:v>61.4</c:v>
                </c:pt>
                <c:pt idx="98">
                  <c:v>88.4</c:v>
                </c:pt>
                <c:pt idx="99">
                  <c:v>79.5</c:v>
                </c:pt>
                <c:pt idx="100">
                  <c:v>83.4</c:v>
                </c:pt>
                <c:pt idx="101">
                  <c:v>67.5</c:v>
                </c:pt>
                <c:pt idx="102">
                  <c:v>88.9</c:v>
                </c:pt>
                <c:pt idx="103">
                  <c:v>82.8</c:v>
                </c:pt>
                <c:pt idx="104">
                  <c:v>73.9</c:v>
                </c:pt>
                <c:pt idx="105">
                  <c:v>73.8</c:v>
                </c:pt>
                <c:pt idx="106">
                  <c:v>64.8</c:v>
                </c:pt>
                <c:pt idx="107">
                  <c:v>87.8</c:v>
                </c:pt>
                <c:pt idx="108">
                  <c:v>82.3</c:v>
                </c:pt>
                <c:pt idx="109">
                  <c:v>69.2</c:v>
                </c:pt>
                <c:pt idx="110">
                  <c:v>74.6</c:v>
                </c:pt>
                <c:pt idx="111">
                  <c:v>83.3</c:v>
                </c:pt>
                <c:pt idx="112">
                  <c:v>87.7</c:v>
                </c:pt>
                <c:pt idx="113">
                  <c:v>56.2</c:v>
                </c:pt>
                <c:pt idx="114">
                  <c:v>59</c:v>
                </c:pt>
                <c:pt idx="115">
                  <c:v>95.1</c:v>
                </c:pt>
                <c:pt idx="116">
                  <c:v>74.6</c:v>
                </c:pt>
                <c:pt idx="117">
                  <c:v>66.9</c:v>
                </c:pt>
                <c:pt idx="118">
                  <c:v>86.2</c:v>
                </c:pt>
                <c:pt idx="119">
                  <c:v>69.8</c:v>
                </c:pt>
                <c:pt idx="120">
                  <c:v>79.6</c:v>
                </c:pt>
                <c:pt idx="121">
                  <c:v>97.5</c:v>
                </c:pt>
                <c:pt idx="122">
                  <c:v>92.4</c:v>
                </c:pt>
                <c:pt idx="123">
                  <c:v>92.5</c:v>
                </c:pt>
                <c:pt idx="124">
                  <c:v>82.9</c:v>
                </c:pt>
                <c:pt idx="125">
                  <c:v>92.5</c:v>
                </c:pt>
                <c:pt idx="126">
                  <c:v>73.7</c:v>
                </c:pt>
                <c:pt idx="127">
                  <c:v>57</c:v>
                </c:pt>
                <c:pt idx="128">
                  <c:v>79.3</c:v>
                </c:pt>
                <c:pt idx="129">
                  <c:v>76.4</c:v>
                </c:pt>
                <c:pt idx="130">
                  <c:v>93.8</c:v>
                </c:pt>
                <c:pt idx="131">
                  <c:v>82.5</c:v>
                </c:pt>
                <c:pt idx="132">
                  <c:v>59.6</c:v>
                </c:pt>
                <c:pt idx="133">
                  <c:v>66.8</c:v>
                </c:pt>
                <c:pt idx="134">
                  <c:v>90.8</c:v>
                </c:pt>
                <c:pt idx="135">
                  <c:v>81.7</c:v>
                </c:pt>
                <c:pt idx="136">
                  <c:v>68.3</c:v>
                </c:pt>
                <c:pt idx="137">
                  <c:v>87.1</c:v>
                </c:pt>
                <c:pt idx="138">
                  <c:v>90.7</c:v>
                </c:pt>
                <c:pt idx="139">
                  <c:v>75.1</c:v>
                </c:pt>
                <c:pt idx="140">
                  <c:v>58.9</c:v>
                </c:pt>
                <c:pt idx="141">
                  <c:v>90.4</c:v>
                </c:pt>
                <c:pt idx="142">
                  <c:v>94.4</c:v>
                </c:pt>
                <c:pt idx="143">
                  <c:v>60</c:v>
                </c:pt>
                <c:pt idx="144">
                  <c:v>71.7</c:v>
                </c:pt>
                <c:pt idx="145">
                  <c:v>93.1</c:v>
                </c:pt>
                <c:pt idx="146">
                  <c:v>84.7</c:v>
                </c:pt>
                <c:pt idx="147">
                  <c:v>57.6</c:v>
                </c:pt>
                <c:pt idx="148">
                  <c:v>82.6</c:v>
                </c:pt>
                <c:pt idx="149">
                  <c:v>58</c:v>
                </c:pt>
                <c:pt idx="150">
                  <c:v>88.9</c:v>
                </c:pt>
                <c:pt idx="151">
                  <c:v>89.3</c:v>
                </c:pt>
                <c:pt idx="152">
                  <c:v>55.7</c:v>
                </c:pt>
                <c:pt idx="153">
                  <c:v>74.3</c:v>
                </c:pt>
                <c:pt idx="154">
                  <c:v>86.3</c:v>
                </c:pt>
                <c:pt idx="155">
                  <c:v>97.9</c:v>
                </c:pt>
                <c:pt idx="156">
                  <c:v>93.7</c:v>
                </c:pt>
                <c:pt idx="157">
                  <c:v>71.4</c:v>
                </c:pt>
                <c:pt idx="158">
                  <c:v>73.5</c:v>
                </c:pt>
                <c:pt idx="159">
                  <c:v>73.4</c:v>
                </c:pt>
                <c:pt idx="160">
                  <c:v>90.8</c:v>
                </c:pt>
                <c:pt idx="161">
                  <c:v>80.2</c:v>
                </c:pt>
                <c:pt idx="162">
                  <c:v>96.6</c:v>
                </c:pt>
                <c:pt idx="163">
                  <c:v>91.4</c:v>
                </c:pt>
                <c:pt idx="164">
                  <c:v>91.3</c:v>
                </c:pt>
                <c:pt idx="165">
                  <c:v>56.2</c:v>
                </c:pt>
                <c:pt idx="166">
                  <c:v>79.4</c:v>
                </c:pt>
                <c:pt idx="167">
                  <c:v>71.2</c:v>
                </c:pt>
                <c:pt idx="168">
                  <c:v>93</c:v>
                </c:pt>
                <c:pt idx="169">
                  <c:v>75.9</c:v>
                </c:pt>
                <c:pt idx="170">
                  <c:v>67.2</c:v>
                </c:pt>
                <c:pt idx="171">
                  <c:v>55.3</c:v>
                </c:pt>
                <c:pt idx="172">
                  <c:v>55.3</c:v>
                </c:pt>
                <c:pt idx="173">
                  <c:v>58.1</c:v>
                </c:pt>
                <c:pt idx="174">
                  <c:v>79.7</c:v>
                </c:pt>
                <c:pt idx="175">
                  <c:v>89.5</c:v>
                </c:pt>
                <c:pt idx="176">
                  <c:v>73.7</c:v>
                </c:pt>
                <c:pt idx="177">
                  <c:v>88.5</c:v>
                </c:pt>
                <c:pt idx="178">
                  <c:v>86.3</c:v>
                </c:pt>
                <c:pt idx="179">
                  <c:v>80.9</c:v>
                </c:pt>
              </c:numCache>
            </c:numRef>
          </c:xVal>
          <c:yVal>
            <c:numRef>
              <c:f>'Raw Data'!$H$2:$H$181</c:f>
              <c:numCache>
                <c:formatCode>General</c:formatCode>
                <c:ptCount val="180"/>
                <c:pt idx="0">
                  <c:v>2174.7</c:v>
                </c:pt>
                <c:pt idx="1">
                  <c:v>1890.8</c:v>
                </c:pt>
                <c:pt idx="2">
                  <c:v>2628.8</c:v>
                </c:pt>
                <c:pt idx="3">
                  <c:v>2629.9</c:v>
                </c:pt>
                <c:pt idx="4">
                  <c:v>2845.7</c:v>
                </c:pt>
                <c:pt idx="5">
                  <c:v>2977.3</c:v>
                </c:pt>
                <c:pt idx="6">
                  <c:v>1757.3</c:v>
                </c:pt>
                <c:pt idx="7">
                  <c:v>1900.3</c:v>
                </c:pt>
                <c:pt idx="8">
                  <c:v>1859.9</c:v>
                </c:pt>
                <c:pt idx="9">
                  <c:v>2303.7</c:v>
                </c:pt>
                <c:pt idx="10">
                  <c:v>2093.1</c:v>
                </c:pt>
                <c:pt idx="11">
                  <c:v>2635.2</c:v>
                </c:pt>
                <c:pt idx="12">
                  <c:v>2738.4</c:v>
                </c:pt>
                <c:pt idx="13">
                  <c:v>1999.4</c:v>
                </c:pt>
                <c:pt idx="14">
                  <c:v>2341.6</c:v>
                </c:pt>
                <c:pt idx="15">
                  <c:v>2454.5</c:v>
                </c:pt>
                <c:pt idx="16">
                  <c:v>2519.8</c:v>
                </c:pt>
                <c:pt idx="17">
                  <c:v>2365.8</c:v>
                </c:pt>
                <c:pt idx="18">
                  <c:v>2620.8</c:v>
                </c:pt>
                <c:pt idx="19">
                  <c:v>2034.8</c:v>
                </c:pt>
                <c:pt idx="20">
                  <c:v>2247.9</c:v>
                </c:pt>
                <c:pt idx="21">
                  <c:v>3001.5</c:v>
                </c:pt>
                <c:pt idx="22">
                  <c:v>2028.1</c:v>
                </c:pt>
                <c:pt idx="23">
                  <c:v>1449</c:v>
                </c:pt>
                <c:pt idx="24">
                  <c:v>1482.7</c:v>
                </c:pt>
                <c:pt idx="25">
                  <c:v>2087.2</c:v>
                </c:pt>
                <c:pt idx="26">
                  <c:v>2812.9</c:v>
                </c:pt>
                <c:pt idx="27">
                  <c:v>2570.5</c:v>
                </c:pt>
                <c:pt idx="28">
                  <c:v>1971.7</c:v>
                </c:pt>
                <c:pt idx="29">
                  <c:v>3099.9</c:v>
                </c:pt>
                <c:pt idx="30">
                  <c:v>2370.1</c:v>
                </c:pt>
                <c:pt idx="31">
                  <c:v>2800.3</c:v>
                </c:pt>
                <c:pt idx="32">
                  <c:v>1999.2</c:v>
                </c:pt>
                <c:pt idx="33">
                  <c:v>1774</c:v>
                </c:pt>
                <c:pt idx="34">
                  <c:v>2434.8</c:v>
                </c:pt>
                <c:pt idx="35">
                  <c:v>2182.5</c:v>
                </c:pt>
                <c:pt idx="36">
                  <c:v>2439.7</c:v>
                </c:pt>
                <c:pt idx="37">
                  <c:v>2728.9</c:v>
                </c:pt>
                <c:pt idx="38">
                  <c:v>2042.7</c:v>
                </c:pt>
                <c:pt idx="39">
                  <c:v>2413.1</c:v>
                </c:pt>
                <c:pt idx="40">
                  <c:v>2405.6</c:v>
                </c:pt>
                <c:pt idx="41">
                  <c:v>2514.1</c:v>
                </c:pt>
                <c:pt idx="42">
                  <c:v>2957.3</c:v>
                </c:pt>
                <c:pt idx="43">
                  <c:v>2374.2</c:v>
                </c:pt>
                <c:pt idx="44">
                  <c:v>2066.8</c:v>
                </c:pt>
                <c:pt idx="45">
                  <c:v>2281.2</c:v>
                </c:pt>
                <c:pt idx="46">
                  <c:v>2413.5</c:v>
                </c:pt>
                <c:pt idx="47">
                  <c:v>2479.2</c:v>
                </c:pt>
                <c:pt idx="48">
                  <c:v>2567.1</c:v>
                </c:pt>
                <c:pt idx="49">
                  <c:v>2060.5</c:v>
                </c:pt>
                <c:pt idx="50">
                  <c:v>2408.6</c:v>
                </c:pt>
                <c:pt idx="51">
                  <c:v>1763</c:v>
                </c:pt>
                <c:pt idx="52">
                  <c:v>2302.3</c:v>
                </c:pt>
                <c:pt idx="53">
                  <c:v>2009.9</c:v>
                </c:pt>
                <c:pt idx="54">
                  <c:v>2278.6</c:v>
                </c:pt>
                <c:pt idx="55">
                  <c:v>1726.1</c:v>
                </c:pt>
                <c:pt idx="56">
                  <c:v>2780.5</c:v>
                </c:pt>
                <c:pt idx="57">
                  <c:v>2190.5</c:v>
                </c:pt>
                <c:pt idx="58">
                  <c:v>1974.4</c:v>
                </c:pt>
                <c:pt idx="59">
                  <c:v>2983.6</c:v>
                </c:pt>
                <c:pt idx="60">
                  <c:v>2970.5</c:v>
                </c:pt>
                <c:pt idx="61">
                  <c:v>2681.8</c:v>
                </c:pt>
                <c:pt idx="62">
                  <c:v>2604.4</c:v>
                </c:pt>
                <c:pt idx="63">
                  <c:v>2032</c:v>
                </c:pt>
                <c:pt idx="64">
                  <c:v>2162.8</c:v>
                </c:pt>
                <c:pt idx="65">
                  <c:v>2133</c:v>
                </c:pt>
                <c:pt idx="66">
                  <c:v>2754.5</c:v>
                </c:pt>
                <c:pt idx="67">
                  <c:v>2238.8</c:v>
                </c:pt>
                <c:pt idx="68">
                  <c:v>2413.2</c:v>
                </c:pt>
                <c:pt idx="69">
                  <c:v>1878.1</c:v>
                </c:pt>
                <c:pt idx="70">
                  <c:v>2948.3</c:v>
                </c:pt>
                <c:pt idx="71">
                  <c:v>2959.5</c:v>
                </c:pt>
                <c:pt idx="72">
                  <c:v>2298.9</c:v>
                </c:pt>
                <c:pt idx="73">
                  <c:v>3150.7</c:v>
                </c:pt>
                <c:pt idx="74">
                  <c:v>1633.8</c:v>
                </c:pt>
                <c:pt idx="75">
                  <c:v>2279.5</c:v>
                </c:pt>
                <c:pt idx="76">
                  <c:v>2515.7</c:v>
                </c:pt>
                <c:pt idx="77">
                  <c:v>2852.8</c:v>
                </c:pt>
                <c:pt idx="78">
                  <c:v>2501.7</c:v>
                </c:pt>
                <c:pt idx="79">
                  <c:v>2168.4</c:v>
                </c:pt>
                <c:pt idx="80">
                  <c:v>3096.2</c:v>
                </c:pt>
                <c:pt idx="81">
                  <c:v>2795.3</c:v>
                </c:pt>
                <c:pt idx="82">
                  <c:v>2721.5</c:v>
                </c:pt>
                <c:pt idx="83">
                  <c:v>1966</c:v>
                </c:pt>
                <c:pt idx="84">
                  <c:v>2478.4</c:v>
                </c:pt>
                <c:pt idx="85">
                  <c:v>2414.1</c:v>
                </c:pt>
                <c:pt idx="86">
                  <c:v>2528.2</c:v>
                </c:pt>
                <c:pt idx="87">
                  <c:v>2497.2</c:v>
                </c:pt>
                <c:pt idx="88">
                  <c:v>2205.3</c:v>
                </c:pt>
                <c:pt idx="89">
                  <c:v>2703.9</c:v>
                </c:pt>
                <c:pt idx="90">
                  <c:v>2406.5</c:v>
                </c:pt>
                <c:pt idx="91">
                  <c:v>2244.6</c:v>
                </c:pt>
                <c:pt idx="92">
                  <c:v>2860.4</c:v>
                </c:pt>
                <c:pt idx="93">
                  <c:v>2815.5</c:v>
                </c:pt>
                <c:pt idx="94">
                  <c:v>2639</c:v>
                </c:pt>
                <c:pt idx="95">
                  <c:v>2558.4</c:v>
                </c:pt>
                <c:pt idx="96">
                  <c:v>2297.5</c:v>
                </c:pt>
                <c:pt idx="97">
                  <c:v>2414.1</c:v>
                </c:pt>
                <c:pt idx="98">
                  <c:v>2307.5</c:v>
                </c:pt>
                <c:pt idx="99">
                  <c:v>1841.5</c:v>
                </c:pt>
                <c:pt idx="100">
                  <c:v>1596.5</c:v>
                </c:pt>
                <c:pt idx="101">
                  <c:v>2163</c:v>
                </c:pt>
                <c:pt idx="102">
                  <c:v>2990.3</c:v>
                </c:pt>
                <c:pt idx="103">
                  <c:v>2281.3</c:v>
                </c:pt>
                <c:pt idx="104">
                  <c:v>2170.1</c:v>
                </c:pt>
                <c:pt idx="105">
                  <c:v>2618.5</c:v>
                </c:pt>
                <c:pt idx="106">
                  <c:v>2099.8</c:v>
                </c:pt>
                <c:pt idx="107">
                  <c:v>2186.7</c:v>
                </c:pt>
                <c:pt idx="108">
                  <c:v>2235.5</c:v>
                </c:pt>
                <c:pt idx="109">
                  <c:v>3018.5</c:v>
                </c:pt>
                <c:pt idx="110">
                  <c:v>2562.5</c:v>
                </c:pt>
                <c:pt idx="111">
                  <c:v>2306.3</c:v>
                </c:pt>
                <c:pt idx="112">
                  <c:v>2661.1</c:v>
                </c:pt>
                <c:pt idx="113">
                  <c:v>2219.2</c:v>
                </c:pt>
                <c:pt idx="114">
                  <c:v>2227.2</c:v>
                </c:pt>
                <c:pt idx="115">
                  <c:v>2433.7</c:v>
                </c:pt>
                <c:pt idx="116">
                  <c:v>2297.2</c:v>
                </c:pt>
                <c:pt idx="117">
                  <c:v>2918.4</c:v>
                </c:pt>
                <c:pt idx="118">
                  <c:v>3221.2</c:v>
                </c:pt>
                <c:pt idx="119">
                  <c:v>2264.5</c:v>
                </c:pt>
                <c:pt idx="120">
                  <c:v>2002</c:v>
                </c:pt>
                <c:pt idx="121">
                  <c:v>3002.9</c:v>
                </c:pt>
                <c:pt idx="122">
                  <c:v>3047.7</c:v>
                </c:pt>
                <c:pt idx="123">
                  <c:v>3075.2</c:v>
                </c:pt>
                <c:pt idx="124">
                  <c:v>2941.9</c:v>
                </c:pt>
                <c:pt idx="125">
                  <c:v>2558</c:v>
                </c:pt>
                <c:pt idx="126">
                  <c:v>2291.5</c:v>
                </c:pt>
                <c:pt idx="127">
                  <c:v>2093.9</c:v>
                </c:pt>
                <c:pt idx="128">
                  <c:v>2594.6</c:v>
                </c:pt>
                <c:pt idx="129">
                  <c:v>2569.7</c:v>
                </c:pt>
                <c:pt idx="130">
                  <c:v>2667.5</c:v>
                </c:pt>
                <c:pt idx="131">
                  <c:v>2533.4</c:v>
                </c:pt>
                <c:pt idx="132">
                  <c:v>2077.6</c:v>
                </c:pt>
                <c:pt idx="133">
                  <c:v>2233</c:v>
                </c:pt>
                <c:pt idx="134">
                  <c:v>2913.2</c:v>
                </c:pt>
                <c:pt idx="135">
                  <c:v>2948.9</c:v>
                </c:pt>
                <c:pt idx="136">
                  <c:v>2204.4</c:v>
                </c:pt>
                <c:pt idx="137">
                  <c:v>2581.6</c:v>
                </c:pt>
                <c:pt idx="138">
                  <c:v>2538.4</c:v>
                </c:pt>
                <c:pt idx="139">
                  <c:v>1903.5</c:v>
                </c:pt>
                <c:pt idx="140">
                  <c:v>1718.9</c:v>
                </c:pt>
                <c:pt idx="141">
                  <c:v>2475.5</c:v>
                </c:pt>
                <c:pt idx="142">
                  <c:v>2881.6</c:v>
                </c:pt>
                <c:pt idx="143">
                  <c:v>1857.2</c:v>
                </c:pt>
                <c:pt idx="144">
                  <c:v>2307.4</c:v>
                </c:pt>
                <c:pt idx="145">
                  <c:v>3088.1</c:v>
                </c:pt>
                <c:pt idx="146">
                  <c:v>2099.6</c:v>
                </c:pt>
                <c:pt idx="147">
                  <c:v>2366.9</c:v>
                </c:pt>
                <c:pt idx="148">
                  <c:v>2580.7</c:v>
                </c:pt>
                <c:pt idx="149">
                  <c:v>2370.3</c:v>
                </c:pt>
                <c:pt idx="150">
                  <c:v>3360.5</c:v>
                </c:pt>
                <c:pt idx="151">
                  <c:v>1844.9</c:v>
                </c:pt>
                <c:pt idx="152">
                  <c:v>1578.8</c:v>
                </c:pt>
                <c:pt idx="153">
                  <c:v>2091.9</c:v>
                </c:pt>
                <c:pt idx="154">
                  <c:v>2853.2</c:v>
                </c:pt>
                <c:pt idx="155">
                  <c:v>2938.9</c:v>
                </c:pt>
                <c:pt idx="156">
                  <c:v>2290.6</c:v>
                </c:pt>
                <c:pt idx="157">
                  <c:v>2414.3</c:v>
                </c:pt>
                <c:pt idx="158">
                  <c:v>2955.4</c:v>
                </c:pt>
                <c:pt idx="159">
                  <c:v>2560.9</c:v>
                </c:pt>
                <c:pt idx="160">
                  <c:v>2608.2</c:v>
                </c:pt>
                <c:pt idx="161">
                  <c:v>2194.5</c:v>
                </c:pt>
                <c:pt idx="162">
                  <c:v>2738.6</c:v>
                </c:pt>
                <c:pt idx="163">
                  <c:v>2131.7</c:v>
                </c:pt>
                <c:pt idx="164">
                  <c:v>3157.8</c:v>
                </c:pt>
                <c:pt idx="165">
                  <c:v>2111.3</c:v>
                </c:pt>
                <c:pt idx="166">
                  <c:v>2166.8</c:v>
                </c:pt>
                <c:pt idx="167">
                  <c:v>2027.8</c:v>
                </c:pt>
                <c:pt idx="168">
                  <c:v>1751.1</c:v>
                </c:pt>
                <c:pt idx="169">
                  <c:v>2338.4</c:v>
                </c:pt>
                <c:pt idx="170">
                  <c:v>2346.2</c:v>
                </c:pt>
                <c:pt idx="171">
                  <c:v>1507.7</c:v>
                </c:pt>
                <c:pt idx="172">
                  <c:v>2326</c:v>
                </c:pt>
                <c:pt idx="173">
                  <c:v>2276.8</c:v>
                </c:pt>
                <c:pt idx="174">
                  <c:v>2139.4</c:v>
                </c:pt>
                <c:pt idx="175">
                  <c:v>2720.6</c:v>
                </c:pt>
                <c:pt idx="176">
                  <c:v>2664.3</c:v>
                </c:pt>
                <c:pt idx="177">
                  <c:v>2088.9</c:v>
                </c:pt>
                <c:pt idx="178">
                  <c:v>2373.7</c:v>
                </c:pt>
                <c:pt idx="179">
                  <c:v>2630.1</c:v>
                </c:pt>
              </c:numCache>
            </c:numRef>
          </c:yVal>
          <c:smooth val="1"/>
        </c:ser>
        <c:axId val="24212439"/>
        <c:axId val="31806307"/>
      </c:scatterChart>
      <c:valAx>
        <c:axId val="24212439"/>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Soil Quality Index</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806307"/>
        <c:crosses val="autoZero"/>
        <c:crossBetween val="midCat"/>
      </c:valAx>
      <c:valAx>
        <c:axId val="3180630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Yield (kg/hectare)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212439"/>
        <c:crosses val="autoZero"/>
        <c:crossBetween val="midCat"/>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10</xdr:col>
      <xdr:colOff>364680</xdr:colOff>
      <xdr:row>18</xdr:row>
      <xdr:rowOff>170640</xdr:rowOff>
    </xdr:to>
    <xdr:graphicFrame>
      <xdr:nvGraphicFramePr>
        <xdr:cNvPr id="0" name="Chart 1"/>
        <xdr:cNvGraphicFramePr/>
      </xdr:nvGraphicFramePr>
      <xdr:xfrm>
        <a:off x="0" y="0"/>
        <a:ext cx="647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21</xdr:row>
      <xdr:rowOff>0</xdr:rowOff>
    </xdr:from>
    <xdr:to>
      <xdr:col>10</xdr:col>
      <xdr:colOff>364680</xdr:colOff>
      <xdr:row>39</xdr:row>
      <xdr:rowOff>170640</xdr:rowOff>
    </xdr:to>
    <xdr:graphicFrame>
      <xdr:nvGraphicFramePr>
        <xdr:cNvPr id="1" name="Chart 2"/>
        <xdr:cNvGraphicFramePr/>
      </xdr:nvGraphicFramePr>
      <xdr:xfrm>
        <a:off x="0" y="4000680"/>
        <a:ext cx="647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0</xdr:colOff>
      <xdr:row>0</xdr:row>
      <xdr:rowOff>0</xdr:rowOff>
    </xdr:from>
    <xdr:to>
      <xdr:col>20</xdr:col>
      <xdr:colOff>364320</xdr:colOff>
      <xdr:row>18</xdr:row>
      <xdr:rowOff>170640</xdr:rowOff>
    </xdr:to>
    <xdr:graphicFrame>
      <xdr:nvGraphicFramePr>
        <xdr:cNvPr id="2" name="Chart 3"/>
        <xdr:cNvGraphicFramePr/>
      </xdr:nvGraphicFramePr>
      <xdr:xfrm>
        <a:off x="6114960" y="0"/>
        <a:ext cx="6479640" cy="35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6"/>
  </cols>
  <sheetData>
    <row r="1" customFormat="false" ht="15" hidden="false" customHeight="false" outlineLevel="0" collapsed="false">
      <c r="A1" s="1" t="s">
        <v>0</v>
      </c>
      <c r="B1" s="1" t="s">
        <v>1</v>
      </c>
      <c r="C1" s="1" t="s">
        <v>2</v>
      </c>
      <c r="D1" s="1" t="s">
        <v>3</v>
      </c>
      <c r="E1" s="1" t="s">
        <v>4</v>
      </c>
      <c r="F1" s="1" t="s">
        <v>5</v>
      </c>
      <c r="G1" s="1" t="s">
        <v>6</v>
      </c>
      <c r="H1" s="1" t="s">
        <v>7</v>
      </c>
    </row>
    <row r="2" customFormat="false" ht="15" hidden="false" customHeight="false" outlineLevel="0" collapsed="false">
      <c r="A2" s="2" t="n">
        <v>1</v>
      </c>
      <c r="B2" s="2" t="s">
        <v>8</v>
      </c>
      <c r="C2" s="2" t="s">
        <v>9</v>
      </c>
      <c r="D2" s="2" t="n">
        <v>86.9</v>
      </c>
      <c r="E2" s="2" t="n">
        <v>1216</v>
      </c>
      <c r="F2" s="2" t="n">
        <v>25.3</v>
      </c>
      <c r="G2" s="2" t="n">
        <v>75.6</v>
      </c>
      <c r="H2" s="2" t="n">
        <v>2174.7</v>
      </c>
    </row>
    <row r="3" customFormat="false" ht="15" hidden="false" customHeight="false" outlineLevel="0" collapsed="false">
      <c r="A3" s="2" t="n">
        <v>2</v>
      </c>
      <c r="B3" s="2" t="s">
        <v>10</v>
      </c>
      <c r="C3" s="2" t="s">
        <v>9</v>
      </c>
      <c r="D3" s="2" t="n">
        <v>80.4</v>
      </c>
      <c r="E3" s="2" t="n">
        <v>854</v>
      </c>
      <c r="F3" s="2" t="n">
        <v>24.8</v>
      </c>
      <c r="G3" s="2" t="n">
        <v>108.2</v>
      </c>
      <c r="H3" s="2" t="n">
        <v>1890.8</v>
      </c>
    </row>
    <row r="4" customFormat="false" ht="15" hidden="false" customHeight="false" outlineLevel="0" collapsed="false">
      <c r="A4" s="2" t="n">
        <v>3</v>
      </c>
      <c r="B4" s="2" t="s">
        <v>10</v>
      </c>
      <c r="C4" s="2" t="s">
        <v>11</v>
      </c>
      <c r="D4" s="2" t="n">
        <v>85.8</v>
      </c>
      <c r="E4" s="2" t="n">
        <v>1992</v>
      </c>
      <c r="F4" s="2" t="n">
        <v>27.8</v>
      </c>
      <c r="G4" s="2" t="n">
        <v>162.3</v>
      </c>
      <c r="H4" s="2" t="n">
        <v>2628.8</v>
      </c>
    </row>
    <row r="5" customFormat="false" ht="15" hidden="false" customHeight="false" outlineLevel="0" collapsed="false">
      <c r="A5" s="2" t="n">
        <v>4</v>
      </c>
      <c r="B5" s="2" t="s">
        <v>8</v>
      </c>
      <c r="C5" s="2" t="s">
        <v>11</v>
      </c>
      <c r="D5" s="2" t="n">
        <v>85</v>
      </c>
      <c r="E5" s="2" t="n">
        <v>1378</v>
      </c>
      <c r="F5" s="2" t="n">
        <v>25.4</v>
      </c>
      <c r="G5" s="2" t="n">
        <v>289.3</v>
      </c>
      <c r="H5" s="2" t="n">
        <v>2629.9</v>
      </c>
    </row>
    <row r="6" customFormat="false" ht="15" hidden="false" customHeight="false" outlineLevel="0" collapsed="false">
      <c r="A6" s="2" t="n">
        <v>5</v>
      </c>
      <c r="B6" s="2" t="s">
        <v>8</v>
      </c>
      <c r="C6" s="2" t="s">
        <v>12</v>
      </c>
      <c r="D6" s="2" t="n">
        <v>59.2</v>
      </c>
      <c r="E6" s="2" t="n">
        <v>2241</v>
      </c>
      <c r="F6" s="2" t="n">
        <v>29.4</v>
      </c>
      <c r="G6" s="2" t="n">
        <v>251.8</v>
      </c>
      <c r="H6" s="2" t="n">
        <v>2845.7</v>
      </c>
    </row>
    <row r="7" customFormat="false" ht="15" hidden="false" customHeight="false" outlineLevel="0" collapsed="false">
      <c r="A7" s="2" t="n">
        <v>6</v>
      </c>
      <c r="B7" s="2" t="s">
        <v>10</v>
      </c>
      <c r="C7" s="2" t="s">
        <v>9</v>
      </c>
      <c r="D7" s="2" t="n">
        <v>96.8</v>
      </c>
      <c r="E7" s="2" t="n">
        <v>1444</v>
      </c>
      <c r="F7" s="2" t="n">
        <v>29</v>
      </c>
      <c r="G7" s="2" t="n">
        <v>257.4</v>
      </c>
      <c r="H7" s="2" t="n">
        <v>2977.3</v>
      </c>
    </row>
    <row r="8" customFormat="false" ht="15" hidden="false" customHeight="false" outlineLevel="0" collapsed="false">
      <c r="A8" s="2" t="n">
        <v>7</v>
      </c>
      <c r="B8" s="2" t="s">
        <v>13</v>
      </c>
      <c r="C8" s="2" t="s">
        <v>11</v>
      </c>
      <c r="D8" s="2" t="n">
        <v>85.3</v>
      </c>
      <c r="E8" s="2" t="n">
        <v>878</v>
      </c>
      <c r="F8" s="2" t="n">
        <v>26.1</v>
      </c>
      <c r="G8" s="2" t="n">
        <v>122.3</v>
      </c>
      <c r="H8" s="2" t="n">
        <v>1757.3</v>
      </c>
    </row>
    <row r="9" customFormat="false" ht="15" hidden="false" customHeight="false" outlineLevel="0" collapsed="false">
      <c r="A9" s="2" t="n">
        <v>8</v>
      </c>
      <c r="B9" s="2" t="s">
        <v>14</v>
      </c>
      <c r="C9" s="2" t="s">
        <v>9</v>
      </c>
      <c r="D9" s="2" t="n">
        <v>71.3</v>
      </c>
      <c r="E9" s="2" t="n">
        <v>1571</v>
      </c>
      <c r="F9" s="2" t="n">
        <v>31.5</v>
      </c>
      <c r="G9" s="2" t="n">
        <v>90.7</v>
      </c>
      <c r="H9" s="2" t="n">
        <v>1900.3</v>
      </c>
    </row>
    <row r="10" customFormat="false" ht="15" hidden="false" customHeight="false" outlineLevel="0" collapsed="false">
      <c r="A10" s="2" t="n">
        <v>9</v>
      </c>
      <c r="B10" s="2" t="s">
        <v>13</v>
      </c>
      <c r="C10" s="2" t="s">
        <v>9</v>
      </c>
      <c r="D10" s="2" t="n">
        <v>81.2</v>
      </c>
      <c r="E10" s="2" t="n">
        <v>1091</v>
      </c>
      <c r="F10" s="2" t="n">
        <v>30.6</v>
      </c>
      <c r="G10" s="2" t="n">
        <v>90.9</v>
      </c>
      <c r="H10" s="2" t="n">
        <v>1859.9</v>
      </c>
    </row>
    <row r="11" customFormat="false" ht="15" hidden="false" customHeight="false" outlineLevel="0" collapsed="false">
      <c r="A11" s="2" t="n">
        <v>10</v>
      </c>
      <c r="B11" s="2" t="s">
        <v>10</v>
      </c>
      <c r="C11" s="2" t="s">
        <v>11</v>
      </c>
      <c r="D11" s="2" t="n">
        <v>84.4</v>
      </c>
      <c r="E11" s="2" t="n">
        <v>2233</v>
      </c>
      <c r="F11" s="2" t="n">
        <v>31</v>
      </c>
      <c r="G11" s="2" t="n">
        <v>107.3</v>
      </c>
      <c r="H11" s="2" t="n">
        <v>2303.7</v>
      </c>
    </row>
    <row r="12" customFormat="false" ht="15" hidden="false" customHeight="false" outlineLevel="0" collapsed="false">
      <c r="A12" s="2" t="n">
        <v>11</v>
      </c>
      <c r="B12" s="2" t="s">
        <v>13</v>
      </c>
      <c r="C12" s="2" t="s">
        <v>12</v>
      </c>
      <c r="D12" s="2" t="n">
        <v>66.5</v>
      </c>
      <c r="E12" s="2" t="n">
        <v>1159</v>
      </c>
      <c r="F12" s="2" t="n">
        <v>32.5</v>
      </c>
      <c r="G12" s="2" t="n">
        <v>269.1</v>
      </c>
      <c r="H12" s="2" t="n">
        <v>2093.1</v>
      </c>
    </row>
    <row r="13" customFormat="false" ht="15" hidden="false" customHeight="false" outlineLevel="0" collapsed="false">
      <c r="A13" s="2" t="n">
        <v>12</v>
      </c>
      <c r="B13" s="2" t="s">
        <v>15</v>
      </c>
      <c r="C13" s="2" t="s">
        <v>12</v>
      </c>
      <c r="D13" s="2" t="n">
        <v>93</v>
      </c>
      <c r="E13" s="2" t="n">
        <v>1893</v>
      </c>
      <c r="F13" s="2" t="n">
        <v>25.3</v>
      </c>
      <c r="G13" s="2" t="n">
        <v>84.9</v>
      </c>
      <c r="H13" s="2" t="n">
        <v>2635.2</v>
      </c>
    </row>
    <row r="14" customFormat="false" ht="15" hidden="false" customHeight="false" outlineLevel="0" collapsed="false">
      <c r="A14" s="2" t="n">
        <v>13</v>
      </c>
      <c r="B14" s="2" t="s">
        <v>10</v>
      </c>
      <c r="C14" s="2" t="s">
        <v>16</v>
      </c>
      <c r="D14" s="2" t="n">
        <v>87.1</v>
      </c>
      <c r="E14" s="2" t="n">
        <v>1528</v>
      </c>
      <c r="F14" s="2" t="n">
        <v>29.3</v>
      </c>
      <c r="G14" s="2" t="n">
        <v>140.5</v>
      </c>
      <c r="H14" s="2" t="n">
        <v>2738.4</v>
      </c>
    </row>
    <row r="15" customFormat="false" ht="15" hidden="false" customHeight="false" outlineLevel="0" collapsed="false">
      <c r="A15" s="2" t="n">
        <v>14</v>
      </c>
      <c r="B15" s="2" t="s">
        <v>14</v>
      </c>
      <c r="C15" s="2" t="s">
        <v>12</v>
      </c>
      <c r="D15" s="2" t="n">
        <v>58.9</v>
      </c>
      <c r="E15" s="2" t="n">
        <v>880</v>
      </c>
      <c r="F15" s="2" t="n">
        <v>25</v>
      </c>
      <c r="G15" s="2" t="n">
        <v>206.9</v>
      </c>
      <c r="H15" s="2" t="n">
        <v>1999.4</v>
      </c>
    </row>
    <row r="16" customFormat="false" ht="15" hidden="false" customHeight="false" outlineLevel="0" collapsed="false">
      <c r="A16" s="2" t="n">
        <v>15</v>
      </c>
      <c r="B16" s="2" t="s">
        <v>15</v>
      </c>
      <c r="C16" s="2" t="s">
        <v>9</v>
      </c>
      <c r="D16" s="2" t="n">
        <v>71.5</v>
      </c>
      <c r="E16" s="2" t="n">
        <v>1813</v>
      </c>
      <c r="F16" s="2" t="n">
        <v>28.2</v>
      </c>
      <c r="G16" s="2" t="n">
        <v>112.9</v>
      </c>
      <c r="H16" s="2" t="n">
        <v>2341.6</v>
      </c>
    </row>
    <row r="17" customFormat="false" ht="15" hidden="false" customHeight="false" outlineLevel="0" collapsed="false">
      <c r="A17" s="2" t="n">
        <v>16</v>
      </c>
      <c r="B17" s="2" t="s">
        <v>8</v>
      </c>
      <c r="C17" s="2" t="s">
        <v>9</v>
      </c>
      <c r="D17" s="2" t="n">
        <v>84.3</v>
      </c>
      <c r="E17" s="2" t="n">
        <v>1713</v>
      </c>
      <c r="F17" s="2" t="n">
        <v>26.4</v>
      </c>
      <c r="G17" s="2" t="n">
        <v>210.2</v>
      </c>
      <c r="H17" s="2" t="n">
        <v>2454.5</v>
      </c>
    </row>
    <row r="18" customFormat="false" ht="15" hidden="false" customHeight="false" outlineLevel="0" collapsed="false">
      <c r="A18" s="2" t="n">
        <v>17</v>
      </c>
      <c r="B18" s="2" t="s">
        <v>15</v>
      </c>
      <c r="C18" s="2" t="s">
        <v>11</v>
      </c>
      <c r="D18" s="2" t="n">
        <v>74.5</v>
      </c>
      <c r="E18" s="2" t="n">
        <v>2421</v>
      </c>
      <c r="F18" s="2" t="n">
        <v>31.9</v>
      </c>
      <c r="G18" s="2" t="n">
        <v>115.8</v>
      </c>
      <c r="H18" s="2" t="n">
        <v>2519.8</v>
      </c>
    </row>
    <row r="19" customFormat="false" ht="15" hidden="false" customHeight="false" outlineLevel="0" collapsed="false">
      <c r="A19" s="2" t="n">
        <v>18</v>
      </c>
      <c r="B19" s="2" t="s">
        <v>14</v>
      </c>
      <c r="C19" s="2" t="s">
        <v>9</v>
      </c>
      <c r="D19" s="2" t="n">
        <v>92.4</v>
      </c>
      <c r="E19" s="2" t="n">
        <v>1307</v>
      </c>
      <c r="F19" s="2" t="n">
        <v>29.8</v>
      </c>
      <c r="G19" s="2" t="n">
        <v>202.2</v>
      </c>
      <c r="H19" s="2" t="n">
        <v>2365.8</v>
      </c>
    </row>
    <row r="20" customFormat="false" ht="15" hidden="false" customHeight="false" outlineLevel="0" collapsed="false">
      <c r="A20" s="2" t="n">
        <v>19</v>
      </c>
      <c r="B20" s="2" t="s">
        <v>14</v>
      </c>
      <c r="C20" s="2" t="s">
        <v>9</v>
      </c>
      <c r="D20" s="2" t="n">
        <v>80.8</v>
      </c>
      <c r="E20" s="2" t="n">
        <v>1631</v>
      </c>
      <c r="F20" s="2" t="n">
        <v>25</v>
      </c>
      <c r="G20" s="2" t="n">
        <v>140.7</v>
      </c>
      <c r="H20" s="2" t="n">
        <v>2620.8</v>
      </c>
    </row>
    <row r="21" customFormat="false" ht="15" hidden="false" customHeight="false" outlineLevel="0" collapsed="false">
      <c r="A21" s="2" t="n">
        <v>20</v>
      </c>
      <c r="B21" s="2" t="s">
        <v>13</v>
      </c>
      <c r="C21" s="2" t="s">
        <v>11</v>
      </c>
      <c r="D21" s="2" t="n">
        <v>57.5</v>
      </c>
      <c r="E21" s="2" t="n">
        <v>2293</v>
      </c>
      <c r="F21" s="2" t="n">
        <v>32.5</v>
      </c>
      <c r="G21" s="2" t="n">
        <v>71.4</v>
      </c>
      <c r="H21" s="2" t="n">
        <v>2034.8</v>
      </c>
    </row>
    <row r="22" customFormat="false" ht="15" hidden="false" customHeight="false" outlineLevel="0" collapsed="false">
      <c r="A22" s="2" t="n">
        <v>21</v>
      </c>
      <c r="B22" s="2" t="s">
        <v>8</v>
      </c>
      <c r="C22" s="2" t="s">
        <v>11</v>
      </c>
      <c r="D22" s="2" t="n">
        <v>60.5</v>
      </c>
      <c r="E22" s="2" t="n">
        <v>1608</v>
      </c>
      <c r="F22" s="2" t="n">
        <v>28.9</v>
      </c>
      <c r="G22" s="2" t="n">
        <v>116.3</v>
      </c>
      <c r="H22" s="2" t="n">
        <v>2247.9</v>
      </c>
    </row>
    <row r="23" customFormat="false" ht="15" hidden="false" customHeight="false" outlineLevel="0" collapsed="false">
      <c r="A23" s="2" t="n">
        <v>22</v>
      </c>
      <c r="B23" s="2" t="s">
        <v>15</v>
      </c>
      <c r="C23" s="2" t="s">
        <v>11</v>
      </c>
      <c r="D23" s="2" t="n">
        <v>94.9</v>
      </c>
      <c r="E23" s="2" t="n">
        <v>2084</v>
      </c>
      <c r="F23" s="2" t="n">
        <v>30.2</v>
      </c>
      <c r="G23" s="2" t="n">
        <v>228.2</v>
      </c>
      <c r="H23" s="2" t="n">
        <v>3001.5</v>
      </c>
    </row>
    <row r="24" customFormat="false" ht="15" hidden="false" customHeight="false" outlineLevel="0" collapsed="false">
      <c r="A24" s="2" t="n">
        <v>23</v>
      </c>
      <c r="B24" s="2" t="s">
        <v>13</v>
      </c>
      <c r="C24" s="2" t="s">
        <v>12</v>
      </c>
      <c r="D24" s="2" t="n">
        <v>93.7</v>
      </c>
      <c r="E24" s="2" t="n">
        <v>1568</v>
      </c>
      <c r="F24" s="2" t="n">
        <v>26.2</v>
      </c>
      <c r="G24" s="2" t="n">
        <v>66</v>
      </c>
      <c r="H24" s="2" t="n">
        <v>2028.1</v>
      </c>
    </row>
    <row r="25" customFormat="false" ht="15" hidden="false" customHeight="false" outlineLevel="0" collapsed="false">
      <c r="A25" s="2" t="n">
        <v>24</v>
      </c>
      <c r="B25" s="2" t="s">
        <v>10</v>
      </c>
      <c r="C25" s="2" t="s">
        <v>11</v>
      </c>
      <c r="D25" s="2" t="n">
        <v>80.3</v>
      </c>
      <c r="E25" s="2" t="n">
        <v>812</v>
      </c>
      <c r="F25" s="2" t="n">
        <v>30.4</v>
      </c>
      <c r="G25" s="2" t="n">
        <v>64.7</v>
      </c>
      <c r="H25" s="2" t="n">
        <v>1449</v>
      </c>
    </row>
    <row r="26" customFormat="false" ht="15" hidden="false" customHeight="false" outlineLevel="0" collapsed="false">
      <c r="A26" s="2" t="n">
        <v>25</v>
      </c>
      <c r="B26" s="2" t="s">
        <v>8</v>
      </c>
      <c r="C26" s="2" t="s">
        <v>16</v>
      </c>
      <c r="D26" s="2" t="n">
        <v>58</v>
      </c>
      <c r="E26" s="2" t="n">
        <v>1205</v>
      </c>
      <c r="F26" s="2" t="n">
        <v>30</v>
      </c>
      <c r="G26" s="2" t="n">
        <v>103.6</v>
      </c>
      <c r="H26" s="2" t="n">
        <v>1482.7</v>
      </c>
    </row>
    <row r="27" customFormat="false" ht="15" hidden="false" customHeight="false" outlineLevel="0" collapsed="false">
      <c r="A27" s="2" t="n">
        <v>26</v>
      </c>
      <c r="B27" s="2" t="s">
        <v>10</v>
      </c>
      <c r="C27" s="2" t="s">
        <v>12</v>
      </c>
      <c r="D27" s="2" t="n">
        <v>65.4</v>
      </c>
      <c r="E27" s="2" t="n">
        <v>1604</v>
      </c>
      <c r="F27" s="2" t="n">
        <v>27.7</v>
      </c>
      <c r="G27" s="2" t="n">
        <v>73.6</v>
      </c>
      <c r="H27" s="2" t="n">
        <v>2087.2</v>
      </c>
    </row>
    <row r="28" customFormat="false" ht="15" hidden="false" customHeight="false" outlineLevel="0" collapsed="false">
      <c r="A28" s="2" t="n">
        <v>27</v>
      </c>
      <c r="B28" s="2" t="s">
        <v>13</v>
      </c>
      <c r="C28" s="2" t="s">
        <v>12</v>
      </c>
      <c r="D28" s="2" t="n">
        <v>72.7</v>
      </c>
      <c r="E28" s="2" t="n">
        <v>2269</v>
      </c>
      <c r="F28" s="2" t="n">
        <v>24.5</v>
      </c>
      <c r="G28" s="2" t="n">
        <v>213.4</v>
      </c>
      <c r="H28" s="2" t="n">
        <v>2812.9</v>
      </c>
    </row>
    <row r="29" customFormat="false" ht="15" hidden="false" customHeight="false" outlineLevel="0" collapsed="false">
      <c r="A29" s="2" t="n">
        <v>28</v>
      </c>
      <c r="B29" s="2" t="s">
        <v>8</v>
      </c>
      <c r="C29" s="2" t="s">
        <v>12</v>
      </c>
      <c r="D29" s="2" t="n">
        <v>86.3</v>
      </c>
      <c r="E29" s="2" t="n">
        <v>2161</v>
      </c>
      <c r="F29" s="2" t="n">
        <v>25</v>
      </c>
      <c r="G29" s="2" t="n">
        <v>97.9</v>
      </c>
      <c r="H29" s="2" t="n">
        <v>2570.5</v>
      </c>
    </row>
    <row r="30" customFormat="false" ht="15" hidden="false" customHeight="false" outlineLevel="0" collapsed="false">
      <c r="A30" s="2" t="n">
        <v>29</v>
      </c>
      <c r="B30" s="2" t="s">
        <v>14</v>
      </c>
      <c r="C30" s="2" t="s">
        <v>12</v>
      </c>
      <c r="D30" s="2" t="n">
        <v>62.9</v>
      </c>
      <c r="E30" s="2" t="n">
        <v>1586</v>
      </c>
      <c r="F30" s="2" t="n">
        <v>31.9</v>
      </c>
      <c r="G30" s="2" t="n">
        <v>68.8</v>
      </c>
      <c r="H30" s="2" t="n">
        <v>1971.7</v>
      </c>
    </row>
    <row r="31" customFormat="false" ht="15" hidden="false" customHeight="false" outlineLevel="0" collapsed="false">
      <c r="A31" s="2" t="n">
        <v>30</v>
      </c>
      <c r="B31" s="2" t="s">
        <v>10</v>
      </c>
      <c r="C31" s="2" t="s">
        <v>9</v>
      </c>
      <c r="D31" s="2" t="n">
        <v>57.2</v>
      </c>
      <c r="E31" s="2" t="n">
        <v>2499</v>
      </c>
      <c r="F31" s="2" t="n">
        <v>31.5</v>
      </c>
      <c r="G31" s="2" t="n">
        <v>292.2</v>
      </c>
      <c r="H31" s="2" t="n">
        <v>3099.9</v>
      </c>
    </row>
    <row r="32" customFormat="false" ht="15" hidden="false" customHeight="false" outlineLevel="0" collapsed="false">
      <c r="A32" s="2" t="n">
        <v>31</v>
      </c>
      <c r="B32" s="2" t="s">
        <v>14</v>
      </c>
      <c r="C32" s="2" t="s">
        <v>11</v>
      </c>
      <c r="D32" s="2" t="n">
        <v>72.5</v>
      </c>
      <c r="E32" s="2" t="n">
        <v>1618</v>
      </c>
      <c r="F32" s="2" t="n">
        <v>31.8</v>
      </c>
      <c r="G32" s="2" t="n">
        <v>275.6</v>
      </c>
      <c r="H32" s="2" t="n">
        <v>2370.1</v>
      </c>
    </row>
    <row r="33" customFormat="false" ht="15" hidden="false" customHeight="false" outlineLevel="0" collapsed="false">
      <c r="A33" s="2" t="n">
        <v>32</v>
      </c>
      <c r="B33" s="2" t="s">
        <v>8</v>
      </c>
      <c r="C33" s="2" t="s">
        <v>12</v>
      </c>
      <c r="D33" s="2" t="n">
        <v>66.4</v>
      </c>
      <c r="E33" s="2" t="n">
        <v>2133</v>
      </c>
      <c r="F33" s="2" t="n">
        <v>28.1</v>
      </c>
      <c r="G33" s="2" t="n">
        <v>155.8</v>
      </c>
      <c r="H33" s="2" t="n">
        <v>2800.3</v>
      </c>
    </row>
    <row r="34" customFormat="false" ht="15" hidden="false" customHeight="false" outlineLevel="0" collapsed="false">
      <c r="A34" s="2" t="n">
        <v>33</v>
      </c>
      <c r="B34" s="2" t="s">
        <v>10</v>
      </c>
      <c r="C34" s="2" t="s">
        <v>12</v>
      </c>
      <c r="D34" s="2" t="n">
        <v>61.7</v>
      </c>
      <c r="E34" s="2" t="n">
        <v>1304</v>
      </c>
      <c r="F34" s="2" t="n">
        <v>32.7</v>
      </c>
      <c r="G34" s="2" t="n">
        <v>194.8</v>
      </c>
      <c r="H34" s="2" t="n">
        <v>1999.2</v>
      </c>
    </row>
    <row r="35" customFormat="false" ht="15" hidden="false" customHeight="false" outlineLevel="0" collapsed="false">
      <c r="A35" s="2" t="n">
        <v>34</v>
      </c>
      <c r="B35" s="2" t="s">
        <v>13</v>
      </c>
      <c r="C35" s="2" t="s">
        <v>9</v>
      </c>
      <c r="D35" s="2" t="n">
        <v>57.2</v>
      </c>
      <c r="E35" s="2" t="n">
        <v>1611</v>
      </c>
      <c r="F35" s="2" t="n">
        <v>32.3</v>
      </c>
      <c r="G35" s="2" t="n">
        <v>182.8</v>
      </c>
      <c r="H35" s="2" t="n">
        <v>1774</v>
      </c>
    </row>
    <row r="36" customFormat="false" ht="15" hidden="false" customHeight="false" outlineLevel="0" collapsed="false">
      <c r="A36" s="2" t="n">
        <v>35</v>
      </c>
      <c r="B36" s="2" t="s">
        <v>10</v>
      </c>
      <c r="C36" s="2" t="s">
        <v>9</v>
      </c>
      <c r="D36" s="2" t="n">
        <v>91.6</v>
      </c>
      <c r="E36" s="2" t="n">
        <v>916</v>
      </c>
      <c r="F36" s="2" t="n">
        <v>24.6</v>
      </c>
      <c r="G36" s="2" t="n">
        <v>265.5</v>
      </c>
      <c r="H36" s="2" t="n">
        <v>2434.8</v>
      </c>
    </row>
    <row r="37" customFormat="false" ht="15" hidden="false" customHeight="false" outlineLevel="0" collapsed="false">
      <c r="A37" s="2" t="n">
        <v>36</v>
      </c>
      <c r="B37" s="2" t="s">
        <v>10</v>
      </c>
      <c r="C37" s="2" t="s">
        <v>11</v>
      </c>
      <c r="D37" s="2" t="n">
        <v>79.9</v>
      </c>
      <c r="E37" s="2" t="n">
        <v>868</v>
      </c>
      <c r="F37" s="2" t="n">
        <v>24.7</v>
      </c>
      <c r="G37" s="2" t="n">
        <v>214.3</v>
      </c>
      <c r="H37" s="2" t="n">
        <v>2182.5</v>
      </c>
    </row>
    <row r="38" customFormat="false" ht="15" hidden="false" customHeight="false" outlineLevel="0" collapsed="false">
      <c r="A38" s="2" t="n">
        <v>37</v>
      </c>
      <c r="B38" s="2" t="s">
        <v>13</v>
      </c>
      <c r="C38" s="2" t="s">
        <v>16</v>
      </c>
      <c r="D38" s="2" t="n">
        <v>63.8</v>
      </c>
      <c r="E38" s="2" t="n">
        <v>2018</v>
      </c>
      <c r="F38" s="2" t="n">
        <v>26.1</v>
      </c>
      <c r="G38" s="2" t="n">
        <v>148.9</v>
      </c>
      <c r="H38" s="2" t="n">
        <v>2439.7</v>
      </c>
    </row>
    <row r="39" customFormat="false" ht="15" hidden="false" customHeight="false" outlineLevel="0" collapsed="false">
      <c r="A39" s="2" t="n">
        <v>38</v>
      </c>
      <c r="B39" s="2" t="s">
        <v>13</v>
      </c>
      <c r="C39" s="2" t="s">
        <v>12</v>
      </c>
      <c r="D39" s="2" t="n">
        <v>68.6</v>
      </c>
      <c r="E39" s="2" t="n">
        <v>2078</v>
      </c>
      <c r="F39" s="2" t="n">
        <v>24.7</v>
      </c>
      <c r="G39" s="2" t="n">
        <v>164.6</v>
      </c>
      <c r="H39" s="2" t="n">
        <v>2728.9</v>
      </c>
    </row>
    <row r="40" customFormat="false" ht="15" hidden="false" customHeight="false" outlineLevel="0" collapsed="false">
      <c r="A40" s="2" t="n">
        <v>39</v>
      </c>
      <c r="B40" s="2" t="s">
        <v>8</v>
      </c>
      <c r="C40" s="2" t="s">
        <v>9</v>
      </c>
      <c r="D40" s="2" t="n">
        <v>78.1</v>
      </c>
      <c r="E40" s="2" t="n">
        <v>1660</v>
      </c>
      <c r="F40" s="2" t="n">
        <v>25.2</v>
      </c>
      <c r="G40" s="2" t="n">
        <v>137.3</v>
      </c>
      <c r="H40" s="2" t="n">
        <v>2042.7</v>
      </c>
    </row>
    <row r="41" customFormat="false" ht="15" hidden="false" customHeight="false" outlineLevel="0" collapsed="false">
      <c r="A41" s="2" t="n">
        <v>40</v>
      </c>
      <c r="B41" s="2" t="s">
        <v>14</v>
      </c>
      <c r="C41" s="2" t="s">
        <v>16</v>
      </c>
      <c r="D41" s="2" t="n">
        <v>67.3</v>
      </c>
      <c r="E41" s="2" t="n">
        <v>1545</v>
      </c>
      <c r="F41" s="2" t="n">
        <v>28.9</v>
      </c>
      <c r="G41" s="2" t="n">
        <v>125.6</v>
      </c>
      <c r="H41" s="2" t="n">
        <v>2413.1</v>
      </c>
    </row>
    <row r="42" customFormat="false" ht="15" hidden="false" customHeight="false" outlineLevel="0" collapsed="false">
      <c r="A42" s="2" t="n">
        <v>41</v>
      </c>
      <c r="B42" s="2" t="s">
        <v>10</v>
      </c>
      <c r="C42" s="2" t="s">
        <v>9</v>
      </c>
      <c r="D42" s="2" t="n">
        <v>83.7</v>
      </c>
      <c r="E42" s="2" t="n">
        <v>1743</v>
      </c>
      <c r="F42" s="2" t="n">
        <v>32.4</v>
      </c>
      <c r="G42" s="2" t="n">
        <v>75.9</v>
      </c>
      <c r="H42" s="2" t="n">
        <v>2405.6</v>
      </c>
    </row>
    <row r="43" customFormat="false" ht="15" hidden="false" customHeight="false" outlineLevel="0" collapsed="false">
      <c r="A43" s="2" t="n">
        <v>42</v>
      </c>
      <c r="B43" s="2" t="s">
        <v>13</v>
      </c>
      <c r="C43" s="2" t="s">
        <v>9</v>
      </c>
      <c r="D43" s="2" t="n">
        <v>93.3</v>
      </c>
      <c r="E43" s="2" t="n">
        <v>2062</v>
      </c>
      <c r="F43" s="2" t="n">
        <v>25.4</v>
      </c>
      <c r="G43" s="2" t="n">
        <v>120.4</v>
      </c>
      <c r="H43" s="2" t="n">
        <v>2514.1</v>
      </c>
    </row>
    <row r="44" customFormat="false" ht="15" hidden="false" customHeight="false" outlineLevel="0" collapsed="false">
      <c r="A44" s="2" t="n">
        <v>43</v>
      </c>
      <c r="B44" s="2" t="s">
        <v>13</v>
      </c>
      <c r="C44" s="2" t="s">
        <v>11</v>
      </c>
      <c r="D44" s="2" t="n">
        <v>84.6</v>
      </c>
      <c r="E44" s="2" t="n">
        <v>2250</v>
      </c>
      <c r="F44" s="2" t="n">
        <v>28.5</v>
      </c>
      <c r="G44" s="2" t="n">
        <v>112.8</v>
      </c>
      <c r="H44" s="2" t="n">
        <v>2957.3</v>
      </c>
    </row>
    <row r="45" customFormat="false" ht="15" hidden="false" customHeight="false" outlineLevel="0" collapsed="false">
      <c r="A45" s="2" t="n">
        <v>44</v>
      </c>
      <c r="B45" s="2" t="s">
        <v>8</v>
      </c>
      <c r="C45" s="2" t="s">
        <v>9</v>
      </c>
      <c r="D45" s="2" t="n">
        <v>82.3</v>
      </c>
      <c r="E45" s="2" t="n">
        <v>2210</v>
      </c>
      <c r="F45" s="2" t="n">
        <v>24.4</v>
      </c>
      <c r="G45" s="2" t="n">
        <v>133.4</v>
      </c>
      <c r="H45" s="2" t="n">
        <v>2374.2</v>
      </c>
    </row>
    <row r="46" customFormat="false" ht="15" hidden="false" customHeight="false" outlineLevel="0" collapsed="false">
      <c r="A46" s="2" t="n">
        <v>45</v>
      </c>
      <c r="B46" s="2" t="s">
        <v>13</v>
      </c>
      <c r="C46" s="2" t="s">
        <v>11</v>
      </c>
      <c r="D46" s="2" t="n">
        <v>86.9</v>
      </c>
      <c r="E46" s="2" t="n">
        <v>1738</v>
      </c>
      <c r="F46" s="2" t="n">
        <v>27.8</v>
      </c>
      <c r="G46" s="2" t="n">
        <v>52.4</v>
      </c>
      <c r="H46" s="2" t="n">
        <v>2066.8</v>
      </c>
    </row>
    <row r="47" customFormat="false" ht="15" hidden="false" customHeight="false" outlineLevel="0" collapsed="false">
      <c r="A47" s="2" t="n">
        <v>46</v>
      </c>
      <c r="B47" s="2" t="s">
        <v>14</v>
      </c>
      <c r="C47" s="2" t="s">
        <v>9</v>
      </c>
      <c r="D47" s="2" t="n">
        <v>90.9</v>
      </c>
      <c r="E47" s="2" t="n">
        <v>1790</v>
      </c>
      <c r="F47" s="2" t="n">
        <v>25.3</v>
      </c>
      <c r="G47" s="2" t="n">
        <v>81.9</v>
      </c>
      <c r="H47" s="2" t="n">
        <v>2281.2</v>
      </c>
    </row>
    <row r="48" customFormat="false" ht="15" hidden="false" customHeight="false" outlineLevel="0" collapsed="false">
      <c r="A48" s="2" t="n">
        <v>47</v>
      </c>
      <c r="B48" s="2" t="s">
        <v>8</v>
      </c>
      <c r="C48" s="2" t="s">
        <v>16</v>
      </c>
      <c r="D48" s="2" t="n">
        <v>64</v>
      </c>
      <c r="E48" s="2" t="n">
        <v>1224</v>
      </c>
      <c r="F48" s="2" t="n">
        <v>24.9</v>
      </c>
      <c r="G48" s="2" t="n">
        <v>245</v>
      </c>
      <c r="H48" s="2" t="n">
        <v>2413.5</v>
      </c>
    </row>
    <row r="49" customFormat="false" ht="15" hidden="false" customHeight="false" outlineLevel="0" collapsed="false">
      <c r="A49" s="2" t="n">
        <v>48</v>
      </c>
      <c r="B49" s="2" t="s">
        <v>15</v>
      </c>
      <c r="C49" s="2" t="s">
        <v>11</v>
      </c>
      <c r="D49" s="2" t="n">
        <v>94.8</v>
      </c>
      <c r="E49" s="2" t="n">
        <v>1202</v>
      </c>
      <c r="F49" s="2" t="n">
        <v>25.5</v>
      </c>
      <c r="G49" s="2" t="n">
        <v>250</v>
      </c>
      <c r="H49" s="2" t="n">
        <v>2479.2</v>
      </c>
    </row>
    <row r="50" customFormat="false" ht="15" hidden="false" customHeight="false" outlineLevel="0" collapsed="false">
      <c r="A50" s="2" t="n">
        <v>49</v>
      </c>
      <c r="B50" s="2" t="s">
        <v>15</v>
      </c>
      <c r="C50" s="2" t="s">
        <v>9</v>
      </c>
      <c r="D50" s="2" t="n">
        <v>62.7</v>
      </c>
      <c r="E50" s="2" t="n">
        <v>2372</v>
      </c>
      <c r="F50" s="2" t="n">
        <v>31</v>
      </c>
      <c r="G50" s="2" t="n">
        <v>152.9</v>
      </c>
      <c r="H50" s="2" t="n">
        <v>2567.1</v>
      </c>
    </row>
    <row r="51" customFormat="false" ht="15" hidden="false" customHeight="false" outlineLevel="0" collapsed="false">
      <c r="A51" s="2" t="n">
        <v>50</v>
      </c>
      <c r="B51" s="2" t="s">
        <v>14</v>
      </c>
      <c r="C51" s="2" t="s">
        <v>16</v>
      </c>
      <c r="D51" s="2" t="n">
        <v>61.8</v>
      </c>
      <c r="E51" s="2" t="n">
        <v>1992</v>
      </c>
      <c r="F51" s="2" t="n">
        <v>27.4</v>
      </c>
      <c r="G51" s="2" t="n">
        <v>59.7</v>
      </c>
      <c r="H51" s="2" t="n">
        <v>2060.5</v>
      </c>
    </row>
    <row r="52" customFormat="false" ht="15" hidden="false" customHeight="false" outlineLevel="0" collapsed="false">
      <c r="A52" s="2" t="n">
        <v>51</v>
      </c>
      <c r="B52" s="2" t="s">
        <v>14</v>
      </c>
      <c r="C52" s="2" t="s">
        <v>12</v>
      </c>
      <c r="D52" s="2" t="n">
        <v>70</v>
      </c>
      <c r="E52" s="2" t="n">
        <v>2195</v>
      </c>
      <c r="F52" s="2" t="n">
        <v>31.8</v>
      </c>
      <c r="G52" s="2" t="n">
        <v>105.7</v>
      </c>
      <c r="H52" s="2" t="n">
        <v>2408.6</v>
      </c>
    </row>
    <row r="53" customFormat="false" ht="15" hidden="false" customHeight="false" outlineLevel="0" collapsed="false">
      <c r="A53" s="2" t="n">
        <v>52</v>
      </c>
      <c r="B53" s="2" t="s">
        <v>15</v>
      </c>
      <c r="C53" s="2" t="s">
        <v>16</v>
      </c>
      <c r="D53" s="2" t="n">
        <v>67</v>
      </c>
      <c r="E53" s="2" t="n">
        <v>918</v>
      </c>
      <c r="F53" s="2" t="n">
        <v>31</v>
      </c>
      <c r="G53" s="2" t="n">
        <v>137.8</v>
      </c>
      <c r="H53" s="2" t="n">
        <v>1763</v>
      </c>
    </row>
    <row r="54" customFormat="false" ht="15" hidden="false" customHeight="false" outlineLevel="0" collapsed="false">
      <c r="A54" s="2" t="n">
        <v>53</v>
      </c>
      <c r="B54" s="2" t="s">
        <v>10</v>
      </c>
      <c r="C54" s="2" t="s">
        <v>16</v>
      </c>
      <c r="D54" s="2" t="n">
        <v>95.4</v>
      </c>
      <c r="E54" s="2" t="n">
        <v>996</v>
      </c>
      <c r="F54" s="2" t="n">
        <v>32.7</v>
      </c>
      <c r="G54" s="2" t="n">
        <v>94.6</v>
      </c>
      <c r="H54" s="2" t="n">
        <v>2302.3</v>
      </c>
    </row>
    <row r="55" customFormat="false" ht="15" hidden="false" customHeight="false" outlineLevel="0" collapsed="false">
      <c r="A55" s="2" t="n">
        <v>54</v>
      </c>
      <c r="B55" s="2" t="s">
        <v>13</v>
      </c>
      <c r="C55" s="2" t="s">
        <v>9</v>
      </c>
      <c r="D55" s="2" t="n">
        <v>59.7</v>
      </c>
      <c r="E55" s="2" t="n">
        <v>1539</v>
      </c>
      <c r="F55" s="2" t="n">
        <v>30.6</v>
      </c>
      <c r="G55" s="2" t="n">
        <v>128.4</v>
      </c>
      <c r="H55" s="2" t="n">
        <v>2009.9</v>
      </c>
    </row>
    <row r="56" customFormat="false" ht="15" hidden="false" customHeight="false" outlineLevel="0" collapsed="false">
      <c r="A56" s="2" t="n">
        <v>55</v>
      </c>
      <c r="B56" s="2" t="s">
        <v>10</v>
      </c>
      <c r="C56" s="2" t="s">
        <v>9</v>
      </c>
      <c r="D56" s="2" t="n">
        <v>71.6</v>
      </c>
      <c r="E56" s="2" t="n">
        <v>1780</v>
      </c>
      <c r="F56" s="2" t="n">
        <v>26.3</v>
      </c>
      <c r="G56" s="2" t="n">
        <v>227.2</v>
      </c>
      <c r="H56" s="2" t="n">
        <v>2278.6</v>
      </c>
    </row>
    <row r="57" customFormat="false" ht="15" hidden="false" customHeight="false" outlineLevel="0" collapsed="false">
      <c r="A57" s="2" t="n">
        <v>56</v>
      </c>
      <c r="B57" s="2" t="s">
        <v>10</v>
      </c>
      <c r="C57" s="2" t="s">
        <v>11</v>
      </c>
      <c r="D57" s="2" t="n">
        <v>70.7</v>
      </c>
      <c r="E57" s="2" t="n">
        <v>919</v>
      </c>
      <c r="F57" s="2" t="n">
        <v>30</v>
      </c>
      <c r="G57" s="2" t="n">
        <v>132.6</v>
      </c>
      <c r="H57" s="2" t="n">
        <v>1726.1</v>
      </c>
    </row>
    <row r="58" customFormat="false" ht="15" hidden="false" customHeight="false" outlineLevel="0" collapsed="false">
      <c r="A58" s="2" t="n">
        <v>57</v>
      </c>
      <c r="B58" s="2" t="s">
        <v>8</v>
      </c>
      <c r="C58" s="2" t="s">
        <v>16</v>
      </c>
      <c r="D58" s="2" t="n">
        <v>76.8</v>
      </c>
      <c r="E58" s="2" t="n">
        <v>1934</v>
      </c>
      <c r="F58" s="2" t="n">
        <v>26.9</v>
      </c>
      <c r="G58" s="2" t="n">
        <v>224.3</v>
      </c>
      <c r="H58" s="2" t="n">
        <v>2780.5</v>
      </c>
    </row>
    <row r="59" customFormat="false" ht="15" hidden="false" customHeight="false" outlineLevel="0" collapsed="false">
      <c r="A59" s="2" t="n">
        <v>58</v>
      </c>
      <c r="B59" s="2" t="s">
        <v>14</v>
      </c>
      <c r="C59" s="2" t="s">
        <v>12</v>
      </c>
      <c r="D59" s="2" t="n">
        <v>83.6</v>
      </c>
      <c r="E59" s="2" t="n">
        <v>1445</v>
      </c>
      <c r="F59" s="2" t="n">
        <v>30.7</v>
      </c>
      <c r="G59" s="2" t="n">
        <v>93.5</v>
      </c>
      <c r="H59" s="2" t="n">
        <v>2190.5</v>
      </c>
    </row>
    <row r="60" customFormat="false" ht="15" hidden="false" customHeight="false" outlineLevel="0" collapsed="false">
      <c r="A60" s="2" t="n">
        <v>59</v>
      </c>
      <c r="B60" s="2" t="s">
        <v>15</v>
      </c>
      <c r="C60" s="2" t="s">
        <v>9</v>
      </c>
      <c r="D60" s="2" t="n">
        <v>68.1</v>
      </c>
      <c r="E60" s="2" t="n">
        <v>1157</v>
      </c>
      <c r="F60" s="2" t="n">
        <v>31.1</v>
      </c>
      <c r="G60" s="2" t="n">
        <v>201.7</v>
      </c>
      <c r="H60" s="2" t="n">
        <v>1974.4</v>
      </c>
    </row>
    <row r="61" customFormat="false" ht="15" hidden="false" customHeight="false" outlineLevel="0" collapsed="false">
      <c r="A61" s="2" t="n">
        <v>60</v>
      </c>
      <c r="B61" s="2" t="s">
        <v>15</v>
      </c>
      <c r="C61" s="2" t="s">
        <v>12</v>
      </c>
      <c r="D61" s="2" t="n">
        <v>84.1</v>
      </c>
      <c r="E61" s="2" t="n">
        <v>1669</v>
      </c>
      <c r="F61" s="2" t="n">
        <v>31.1</v>
      </c>
      <c r="G61" s="2" t="n">
        <v>290</v>
      </c>
      <c r="H61" s="2" t="n">
        <v>2983.6</v>
      </c>
    </row>
    <row r="62" customFormat="false" ht="15" hidden="false" customHeight="false" outlineLevel="0" collapsed="false">
      <c r="A62" s="2" t="n">
        <v>61</v>
      </c>
      <c r="B62" s="2" t="s">
        <v>8</v>
      </c>
      <c r="C62" s="2" t="s">
        <v>16</v>
      </c>
      <c r="D62" s="2" t="n">
        <v>77.2</v>
      </c>
      <c r="E62" s="2" t="n">
        <v>1876</v>
      </c>
      <c r="F62" s="2" t="n">
        <v>27</v>
      </c>
      <c r="G62" s="2" t="n">
        <v>254.6</v>
      </c>
      <c r="H62" s="2" t="n">
        <v>2970.5</v>
      </c>
    </row>
    <row r="63" customFormat="false" ht="15" hidden="false" customHeight="false" outlineLevel="0" collapsed="false">
      <c r="A63" s="2" t="n">
        <v>62</v>
      </c>
      <c r="B63" s="2" t="s">
        <v>13</v>
      </c>
      <c r="C63" s="2" t="s">
        <v>11</v>
      </c>
      <c r="D63" s="2" t="n">
        <v>89.7</v>
      </c>
      <c r="E63" s="2" t="n">
        <v>1051</v>
      </c>
      <c r="F63" s="2" t="n">
        <v>24.4</v>
      </c>
      <c r="G63" s="2" t="n">
        <v>296</v>
      </c>
      <c r="H63" s="2" t="n">
        <v>2681.8</v>
      </c>
    </row>
    <row r="64" customFormat="false" ht="15" hidden="false" customHeight="false" outlineLevel="0" collapsed="false">
      <c r="A64" s="2" t="n">
        <v>63</v>
      </c>
      <c r="B64" s="2" t="s">
        <v>8</v>
      </c>
      <c r="C64" s="2" t="s">
        <v>12</v>
      </c>
      <c r="D64" s="2" t="n">
        <v>72.8</v>
      </c>
      <c r="E64" s="2" t="n">
        <v>1871</v>
      </c>
      <c r="F64" s="2" t="n">
        <v>25.7</v>
      </c>
      <c r="G64" s="2" t="n">
        <v>224.1</v>
      </c>
      <c r="H64" s="2" t="n">
        <v>2604.4</v>
      </c>
    </row>
    <row r="65" customFormat="false" ht="15" hidden="false" customHeight="false" outlineLevel="0" collapsed="false">
      <c r="A65" s="2" t="n">
        <v>64</v>
      </c>
      <c r="B65" s="2" t="s">
        <v>14</v>
      </c>
      <c r="C65" s="2" t="s">
        <v>11</v>
      </c>
      <c r="D65" s="2" t="n">
        <v>83.2</v>
      </c>
      <c r="E65" s="2" t="n">
        <v>809</v>
      </c>
      <c r="F65" s="2" t="n">
        <v>30.8</v>
      </c>
      <c r="G65" s="2" t="n">
        <v>242.5</v>
      </c>
      <c r="H65" s="2" t="n">
        <v>2032</v>
      </c>
    </row>
    <row r="66" customFormat="false" ht="15" hidden="false" customHeight="false" outlineLevel="0" collapsed="false">
      <c r="A66" s="2" t="n">
        <v>65</v>
      </c>
      <c r="B66" s="2" t="s">
        <v>15</v>
      </c>
      <c r="C66" s="2" t="s">
        <v>11</v>
      </c>
      <c r="D66" s="2" t="n">
        <v>62.6</v>
      </c>
      <c r="E66" s="2" t="n">
        <v>2429</v>
      </c>
      <c r="F66" s="2" t="n">
        <v>28.7</v>
      </c>
      <c r="G66" s="2" t="n">
        <v>62.6</v>
      </c>
      <c r="H66" s="2" t="n">
        <v>2162.8</v>
      </c>
    </row>
    <row r="67" customFormat="false" ht="15" hidden="false" customHeight="false" outlineLevel="0" collapsed="false">
      <c r="A67" s="2" t="n">
        <v>66</v>
      </c>
      <c r="B67" s="2" t="s">
        <v>8</v>
      </c>
      <c r="C67" s="2" t="s">
        <v>12</v>
      </c>
      <c r="D67" s="2" t="n">
        <v>60.7</v>
      </c>
      <c r="E67" s="2" t="n">
        <v>1590</v>
      </c>
      <c r="F67" s="2" t="n">
        <v>28.8</v>
      </c>
      <c r="G67" s="2" t="n">
        <v>189.7</v>
      </c>
      <c r="H67" s="2" t="n">
        <v>2133</v>
      </c>
    </row>
    <row r="68" customFormat="false" ht="15" hidden="false" customHeight="false" outlineLevel="0" collapsed="false">
      <c r="A68" s="2" t="n">
        <v>67</v>
      </c>
      <c r="B68" s="2" t="s">
        <v>15</v>
      </c>
      <c r="C68" s="2" t="s">
        <v>12</v>
      </c>
      <c r="D68" s="2" t="n">
        <v>90.7</v>
      </c>
      <c r="E68" s="2" t="n">
        <v>1731</v>
      </c>
      <c r="F68" s="2" t="n">
        <v>32.1</v>
      </c>
      <c r="G68" s="2" t="n">
        <v>235.9</v>
      </c>
      <c r="H68" s="2" t="n">
        <v>2754.5</v>
      </c>
    </row>
    <row r="69" customFormat="false" ht="15" hidden="false" customHeight="false" outlineLevel="0" collapsed="false">
      <c r="A69" s="2" t="n">
        <v>68</v>
      </c>
      <c r="B69" s="2" t="s">
        <v>13</v>
      </c>
      <c r="C69" s="2" t="s">
        <v>11</v>
      </c>
      <c r="D69" s="2" t="n">
        <v>91.1</v>
      </c>
      <c r="E69" s="2" t="n">
        <v>1271</v>
      </c>
      <c r="F69" s="2" t="n">
        <v>31</v>
      </c>
      <c r="G69" s="2" t="n">
        <v>171.1</v>
      </c>
      <c r="H69" s="2" t="n">
        <v>2238.8</v>
      </c>
    </row>
    <row r="70" customFormat="false" ht="15" hidden="false" customHeight="false" outlineLevel="0" collapsed="false">
      <c r="A70" s="2" t="n">
        <v>69</v>
      </c>
      <c r="B70" s="2" t="s">
        <v>15</v>
      </c>
      <c r="C70" s="2" t="s">
        <v>9</v>
      </c>
      <c r="D70" s="2" t="n">
        <v>85.7</v>
      </c>
      <c r="E70" s="2" t="n">
        <v>1199</v>
      </c>
      <c r="F70" s="2" t="n">
        <v>27</v>
      </c>
      <c r="G70" s="2" t="n">
        <v>273.3</v>
      </c>
      <c r="H70" s="2" t="n">
        <v>2413.2</v>
      </c>
    </row>
    <row r="71" customFormat="false" ht="15" hidden="false" customHeight="false" outlineLevel="0" collapsed="false">
      <c r="A71" s="2" t="n">
        <v>70</v>
      </c>
      <c r="B71" s="2" t="s">
        <v>14</v>
      </c>
      <c r="C71" s="2" t="s">
        <v>11</v>
      </c>
      <c r="D71" s="2" t="n">
        <v>71.5</v>
      </c>
      <c r="E71" s="2" t="n">
        <v>1060</v>
      </c>
      <c r="F71" s="2" t="n">
        <v>25.9</v>
      </c>
      <c r="G71" s="2" t="n">
        <v>153.7</v>
      </c>
      <c r="H71" s="2" t="n">
        <v>1878.1</v>
      </c>
    </row>
    <row r="72" customFormat="false" ht="15" hidden="false" customHeight="false" outlineLevel="0" collapsed="false">
      <c r="A72" s="2" t="n">
        <v>71</v>
      </c>
      <c r="B72" s="2" t="s">
        <v>15</v>
      </c>
      <c r="C72" s="2" t="s">
        <v>12</v>
      </c>
      <c r="D72" s="2" t="n">
        <v>57.7</v>
      </c>
      <c r="E72" s="2" t="n">
        <v>2216</v>
      </c>
      <c r="F72" s="2" t="n">
        <v>27.5</v>
      </c>
      <c r="G72" s="2" t="n">
        <v>242.4</v>
      </c>
      <c r="H72" s="2" t="n">
        <v>2948.3</v>
      </c>
    </row>
    <row r="73" customFormat="false" ht="15" hidden="false" customHeight="false" outlineLevel="0" collapsed="false">
      <c r="A73" s="2" t="n">
        <v>72</v>
      </c>
      <c r="B73" s="2" t="s">
        <v>8</v>
      </c>
      <c r="C73" s="2" t="s">
        <v>12</v>
      </c>
      <c r="D73" s="2" t="n">
        <v>75.5</v>
      </c>
      <c r="E73" s="2" t="n">
        <v>2403</v>
      </c>
      <c r="F73" s="2" t="n">
        <v>26.7</v>
      </c>
      <c r="G73" s="2" t="n">
        <v>147.5</v>
      </c>
      <c r="H73" s="2" t="n">
        <v>2959.5</v>
      </c>
    </row>
    <row r="74" customFormat="false" ht="15" hidden="false" customHeight="false" outlineLevel="0" collapsed="false">
      <c r="A74" s="2" t="n">
        <v>73</v>
      </c>
      <c r="B74" s="2" t="s">
        <v>15</v>
      </c>
      <c r="C74" s="2" t="s">
        <v>11</v>
      </c>
      <c r="D74" s="2" t="n">
        <v>76</v>
      </c>
      <c r="E74" s="2" t="n">
        <v>1264</v>
      </c>
      <c r="F74" s="2" t="n">
        <v>28.4</v>
      </c>
      <c r="G74" s="2" t="n">
        <v>147.2</v>
      </c>
      <c r="H74" s="2" t="n">
        <v>2298.9</v>
      </c>
    </row>
    <row r="75" customFormat="false" ht="15" hidden="false" customHeight="false" outlineLevel="0" collapsed="false">
      <c r="A75" s="2" t="n">
        <v>74</v>
      </c>
      <c r="B75" s="2" t="s">
        <v>15</v>
      </c>
      <c r="C75" s="2" t="s">
        <v>11</v>
      </c>
      <c r="D75" s="2" t="n">
        <v>91.1</v>
      </c>
      <c r="E75" s="2" t="n">
        <v>2363</v>
      </c>
      <c r="F75" s="2" t="n">
        <v>32.8</v>
      </c>
      <c r="G75" s="2" t="n">
        <v>183.5</v>
      </c>
      <c r="H75" s="2" t="n">
        <v>3150.7</v>
      </c>
    </row>
    <row r="76" customFormat="false" ht="15" hidden="false" customHeight="false" outlineLevel="0" collapsed="false">
      <c r="A76" s="2" t="n">
        <v>75</v>
      </c>
      <c r="B76" s="2" t="s">
        <v>10</v>
      </c>
      <c r="C76" s="2" t="s">
        <v>9</v>
      </c>
      <c r="D76" s="2" t="n">
        <v>58.6</v>
      </c>
      <c r="E76" s="2" t="n">
        <v>1529</v>
      </c>
      <c r="F76" s="2" t="n">
        <v>31.8</v>
      </c>
      <c r="G76" s="2" t="n">
        <v>95.4</v>
      </c>
      <c r="H76" s="2" t="n">
        <v>1633.8</v>
      </c>
    </row>
    <row r="77" customFormat="false" ht="15" hidden="false" customHeight="false" outlineLevel="0" collapsed="false">
      <c r="A77" s="2" t="n">
        <v>76</v>
      </c>
      <c r="B77" s="2" t="s">
        <v>13</v>
      </c>
      <c r="C77" s="2" t="s">
        <v>11</v>
      </c>
      <c r="D77" s="2" t="n">
        <v>74.6</v>
      </c>
      <c r="E77" s="2" t="n">
        <v>1374</v>
      </c>
      <c r="F77" s="2" t="n">
        <v>31.9</v>
      </c>
      <c r="G77" s="2" t="n">
        <v>119.6</v>
      </c>
      <c r="H77" s="2" t="n">
        <v>2279.5</v>
      </c>
    </row>
    <row r="78" customFormat="false" ht="15" hidden="false" customHeight="false" outlineLevel="0" collapsed="false">
      <c r="A78" s="2" t="n">
        <v>77</v>
      </c>
      <c r="B78" s="2" t="s">
        <v>15</v>
      </c>
      <c r="C78" s="2" t="s">
        <v>16</v>
      </c>
      <c r="D78" s="2" t="n">
        <v>90.9</v>
      </c>
      <c r="E78" s="2" t="n">
        <v>1600</v>
      </c>
      <c r="F78" s="2" t="n">
        <v>30.7</v>
      </c>
      <c r="G78" s="2" t="n">
        <v>63</v>
      </c>
      <c r="H78" s="2" t="n">
        <v>2515.7</v>
      </c>
    </row>
    <row r="79" customFormat="false" ht="15" hidden="false" customHeight="false" outlineLevel="0" collapsed="false">
      <c r="A79" s="2" t="n">
        <v>78</v>
      </c>
      <c r="B79" s="2" t="s">
        <v>14</v>
      </c>
      <c r="C79" s="2" t="s">
        <v>9</v>
      </c>
      <c r="D79" s="2" t="n">
        <v>88.6</v>
      </c>
      <c r="E79" s="2" t="n">
        <v>1908</v>
      </c>
      <c r="F79" s="2" t="n">
        <v>30.8</v>
      </c>
      <c r="G79" s="2" t="n">
        <v>287.4</v>
      </c>
      <c r="H79" s="2" t="n">
        <v>2852.8</v>
      </c>
    </row>
    <row r="80" customFormat="false" ht="15" hidden="false" customHeight="false" outlineLevel="0" collapsed="false">
      <c r="A80" s="2" t="n">
        <v>79</v>
      </c>
      <c r="B80" s="2" t="s">
        <v>8</v>
      </c>
      <c r="C80" s="2" t="s">
        <v>11</v>
      </c>
      <c r="D80" s="2" t="n">
        <v>65.3</v>
      </c>
      <c r="E80" s="2" t="n">
        <v>1605</v>
      </c>
      <c r="F80" s="2" t="n">
        <v>25</v>
      </c>
      <c r="G80" s="2" t="n">
        <v>286.9</v>
      </c>
      <c r="H80" s="2" t="n">
        <v>2501.7</v>
      </c>
    </row>
    <row r="81" customFormat="false" ht="15" hidden="false" customHeight="false" outlineLevel="0" collapsed="false">
      <c r="A81" s="2" t="n">
        <v>80</v>
      </c>
      <c r="B81" s="2" t="s">
        <v>13</v>
      </c>
      <c r="C81" s="2" t="s">
        <v>16</v>
      </c>
      <c r="D81" s="2" t="n">
        <v>62.2</v>
      </c>
      <c r="E81" s="2" t="n">
        <v>1832</v>
      </c>
      <c r="F81" s="2" t="n">
        <v>30.7</v>
      </c>
      <c r="G81" s="2" t="n">
        <v>78.6</v>
      </c>
      <c r="H81" s="2" t="n">
        <v>2168.4</v>
      </c>
    </row>
    <row r="82" customFormat="false" ht="15" hidden="false" customHeight="false" outlineLevel="0" collapsed="false">
      <c r="A82" s="2" t="n">
        <v>81</v>
      </c>
      <c r="B82" s="2" t="s">
        <v>13</v>
      </c>
      <c r="C82" s="2" t="s">
        <v>9</v>
      </c>
      <c r="D82" s="2" t="n">
        <v>79.9</v>
      </c>
      <c r="E82" s="2" t="n">
        <v>2379</v>
      </c>
      <c r="F82" s="2" t="n">
        <v>29.2</v>
      </c>
      <c r="G82" s="2" t="n">
        <v>277</v>
      </c>
      <c r="H82" s="2" t="n">
        <v>3096.2</v>
      </c>
    </row>
    <row r="83" customFormat="false" ht="15" hidden="false" customHeight="false" outlineLevel="0" collapsed="false">
      <c r="A83" s="2" t="n">
        <v>82</v>
      </c>
      <c r="B83" s="2" t="s">
        <v>14</v>
      </c>
      <c r="C83" s="2" t="s">
        <v>9</v>
      </c>
      <c r="D83" s="2" t="n">
        <v>80.5</v>
      </c>
      <c r="E83" s="2" t="n">
        <v>2212</v>
      </c>
      <c r="F83" s="2" t="n">
        <v>26.2</v>
      </c>
      <c r="G83" s="2" t="n">
        <v>224.3</v>
      </c>
      <c r="H83" s="2" t="n">
        <v>2795.3</v>
      </c>
    </row>
    <row r="84" customFormat="false" ht="15" hidden="false" customHeight="false" outlineLevel="0" collapsed="false">
      <c r="A84" s="2" t="n">
        <v>83</v>
      </c>
      <c r="B84" s="2" t="s">
        <v>10</v>
      </c>
      <c r="C84" s="2" t="s">
        <v>9</v>
      </c>
      <c r="D84" s="2" t="n">
        <v>89.2</v>
      </c>
      <c r="E84" s="2" t="n">
        <v>1762</v>
      </c>
      <c r="F84" s="2" t="n">
        <v>24.4</v>
      </c>
      <c r="G84" s="2" t="n">
        <v>183.2</v>
      </c>
      <c r="H84" s="2" t="n">
        <v>2721.5</v>
      </c>
    </row>
    <row r="85" customFormat="false" ht="15" hidden="false" customHeight="false" outlineLevel="0" collapsed="false">
      <c r="A85" s="2" t="n">
        <v>84</v>
      </c>
      <c r="B85" s="2" t="s">
        <v>8</v>
      </c>
      <c r="C85" s="2" t="s">
        <v>16</v>
      </c>
      <c r="D85" s="2" t="n">
        <v>55.5</v>
      </c>
      <c r="E85" s="2" t="n">
        <v>1514</v>
      </c>
      <c r="F85" s="2" t="n">
        <v>28.4</v>
      </c>
      <c r="G85" s="2" t="n">
        <v>158.4</v>
      </c>
      <c r="H85" s="2" t="n">
        <v>1966</v>
      </c>
    </row>
    <row r="86" customFormat="false" ht="15" hidden="false" customHeight="false" outlineLevel="0" collapsed="false">
      <c r="A86" s="2" t="n">
        <v>85</v>
      </c>
      <c r="B86" s="2" t="s">
        <v>15</v>
      </c>
      <c r="C86" s="2" t="s">
        <v>11</v>
      </c>
      <c r="D86" s="2" t="n">
        <v>73.7</v>
      </c>
      <c r="E86" s="2" t="n">
        <v>2047</v>
      </c>
      <c r="F86" s="2" t="n">
        <v>32.7</v>
      </c>
      <c r="G86" s="2" t="n">
        <v>117.5</v>
      </c>
      <c r="H86" s="2" t="n">
        <v>2478.4</v>
      </c>
    </row>
    <row r="87" customFormat="false" ht="15" hidden="false" customHeight="false" outlineLevel="0" collapsed="false">
      <c r="A87" s="2" t="n">
        <v>86</v>
      </c>
      <c r="B87" s="2" t="s">
        <v>10</v>
      </c>
      <c r="C87" s="2" t="s">
        <v>12</v>
      </c>
      <c r="D87" s="2" t="n">
        <v>75</v>
      </c>
      <c r="E87" s="2" t="n">
        <v>2204</v>
      </c>
      <c r="F87" s="2" t="n">
        <v>29.3</v>
      </c>
      <c r="G87" s="2" t="n">
        <v>130.6</v>
      </c>
      <c r="H87" s="2" t="n">
        <v>2414.1</v>
      </c>
    </row>
    <row r="88" customFormat="false" ht="15" hidden="false" customHeight="false" outlineLevel="0" collapsed="false">
      <c r="A88" s="2" t="n">
        <v>87</v>
      </c>
      <c r="B88" s="2" t="s">
        <v>8</v>
      </c>
      <c r="C88" s="2" t="s">
        <v>16</v>
      </c>
      <c r="D88" s="2" t="n">
        <v>92.9</v>
      </c>
      <c r="E88" s="2" t="n">
        <v>1215</v>
      </c>
      <c r="F88" s="2" t="n">
        <v>28.2</v>
      </c>
      <c r="G88" s="2" t="n">
        <v>202.6</v>
      </c>
      <c r="H88" s="2" t="n">
        <v>2528.2</v>
      </c>
    </row>
    <row r="89" customFormat="false" ht="15" hidden="false" customHeight="false" outlineLevel="0" collapsed="false">
      <c r="A89" s="2" t="n">
        <v>88</v>
      </c>
      <c r="B89" s="2" t="s">
        <v>8</v>
      </c>
      <c r="C89" s="2" t="s">
        <v>12</v>
      </c>
      <c r="D89" s="2" t="n">
        <v>91.6</v>
      </c>
      <c r="E89" s="2" t="n">
        <v>1109</v>
      </c>
      <c r="F89" s="2" t="n">
        <v>25.9</v>
      </c>
      <c r="G89" s="2" t="n">
        <v>249.5</v>
      </c>
      <c r="H89" s="2" t="n">
        <v>2497.2</v>
      </c>
    </row>
    <row r="90" customFormat="false" ht="15" hidden="false" customHeight="false" outlineLevel="0" collapsed="false">
      <c r="A90" s="2" t="n">
        <v>89</v>
      </c>
      <c r="B90" s="2" t="s">
        <v>10</v>
      </c>
      <c r="C90" s="2" t="s">
        <v>16</v>
      </c>
      <c r="D90" s="2" t="n">
        <v>78.9</v>
      </c>
      <c r="E90" s="2" t="n">
        <v>1678</v>
      </c>
      <c r="F90" s="2" t="n">
        <v>25.7</v>
      </c>
      <c r="G90" s="2" t="n">
        <v>110.3</v>
      </c>
      <c r="H90" s="2" t="n">
        <v>2205.3</v>
      </c>
    </row>
    <row r="91" customFormat="false" ht="15" hidden="false" customHeight="false" outlineLevel="0" collapsed="false">
      <c r="A91" s="2" t="n">
        <v>90</v>
      </c>
      <c r="B91" s="2" t="s">
        <v>10</v>
      </c>
      <c r="C91" s="2" t="s">
        <v>11</v>
      </c>
      <c r="D91" s="2" t="n">
        <v>84.7</v>
      </c>
      <c r="E91" s="2" t="n">
        <v>1898</v>
      </c>
      <c r="F91" s="2" t="n">
        <v>28.4</v>
      </c>
      <c r="G91" s="2" t="n">
        <v>248.2</v>
      </c>
      <c r="H91" s="2" t="n">
        <v>2703.9</v>
      </c>
    </row>
    <row r="92" customFormat="false" ht="15" hidden="false" customHeight="false" outlineLevel="0" collapsed="false">
      <c r="A92" s="2" t="n">
        <v>91</v>
      </c>
      <c r="B92" s="2" t="s">
        <v>14</v>
      </c>
      <c r="C92" s="2" t="s">
        <v>12</v>
      </c>
      <c r="D92" s="2" t="n">
        <v>84.7</v>
      </c>
      <c r="E92" s="2" t="n">
        <v>1321</v>
      </c>
      <c r="F92" s="2" t="n">
        <v>29.2</v>
      </c>
      <c r="G92" s="2" t="n">
        <v>168.3</v>
      </c>
      <c r="H92" s="2" t="n">
        <v>2406.5</v>
      </c>
    </row>
    <row r="93" customFormat="false" ht="15" hidden="false" customHeight="false" outlineLevel="0" collapsed="false">
      <c r="A93" s="2" t="n">
        <v>92</v>
      </c>
      <c r="B93" s="2" t="s">
        <v>15</v>
      </c>
      <c r="C93" s="2" t="s">
        <v>16</v>
      </c>
      <c r="D93" s="2" t="n">
        <v>70.1</v>
      </c>
      <c r="E93" s="2" t="n">
        <v>1571</v>
      </c>
      <c r="F93" s="2" t="n">
        <v>26.8</v>
      </c>
      <c r="G93" s="2" t="n">
        <v>107.6</v>
      </c>
      <c r="H93" s="2" t="n">
        <v>2244.6</v>
      </c>
    </row>
    <row r="94" customFormat="false" ht="15" hidden="false" customHeight="false" outlineLevel="0" collapsed="false">
      <c r="A94" s="2" t="n">
        <v>93</v>
      </c>
      <c r="B94" s="2" t="s">
        <v>13</v>
      </c>
      <c r="C94" s="2" t="s">
        <v>9</v>
      </c>
      <c r="D94" s="2" t="n">
        <v>86.9</v>
      </c>
      <c r="E94" s="2" t="n">
        <v>2416</v>
      </c>
      <c r="F94" s="2" t="n">
        <v>30.2</v>
      </c>
      <c r="G94" s="2" t="n">
        <v>97.9</v>
      </c>
      <c r="H94" s="2" t="n">
        <v>2860.4</v>
      </c>
    </row>
    <row r="95" customFormat="false" ht="15" hidden="false" customHeight="false" outlineLevel="0" collapsed="false">
      <c r="A95" s="2" t="n">
        <v>94</v>
      </c>
      <c r="B95" s="2" t="s">
        <v>13</v>
      </c>
      <c r="C95" s="2" t="s">
        <v>16</v>
      </c>
      <c r="D95" s="2" t="n">
        <v>97.2</v>
      </c>
      <c r="E95" s="2" t="n">
        <v>2215</v>
      </c>
      <c r="F95" s="2" t="n">
        <v>26.7</v>
      </c>
      <c r="G95" s="2" t="n">
        <v>140.2</v>
      </c>
      <c r="H95" s="2" t="n">
        <v>2815.5</v>
      </c>
    </row>
    <row r="96" customFormat="false" ht="15" hidden="false" customHeight="false" outlineLevel="0" collapsed="false">
      <c r="A96" s="2" t="n">
        <v>95</v>
      </c>
      <c r="B96" s="2" t="s">
        <v>10</v>
      </c>
      <c r="C96" s="2" t="s">
        <v>11</v>
      </c>
      <c r="D96" s="2" t="n">
        <v>66.8</v>
      </c>
      <c r="E96" s="2" t="n">
        <v>2456</v>
      </c>
      <c r="F96" s="2" t="n">
        <v>29</v>
      </c>
      <c r="G96" s="2" t="n">
        <v>224.4</v>
      </c>
      <c r="H96" s="2" t="n">
        <v>2639</v>
      </c>
    </row>
    <row r="97" customFormat="false" ht="15" hidden="false" customHeight="false" outlineLevel="0" collapsed="false">
      <c r="A97" s="2" t="n">
        <v>96</v>
      </c>
      <c r="B97" s="2" t="s">
        <v>15</v>
      </c>
      <c r="C97" s="2" t="s">
        <v>9</v>
      </c>
      <c r="D97" s="2" t="n">
        <v>92.5</v>
      </c>
      <c r="E97" s="2" t="n">
        <v>1776</v>
      </c>
      <c r="F97" s="2" t="n">
        <v>28.2</v>
      </c>
      <c r="G97" s="2" t="n">
        <v>160.1</v>
      </c>
      <c r="H97" s="2" t="n">
        <v>2558.4</v>
      </c>
    </row>
    <row r="98" customFormat="false" ht="15" hidden="false" customHeight="false" outlineLevel="0" collapsed="false">
      <c r="A98" s="2" t="n">
        <v>97</v>
      </c>
      <c r="B98" s="2" t="s">
        <v>8</v>
      </c>
      <c r="C98" s="2" t="s">
        <v>16</v>
      </c>
      <c r="D98" s="2" t="n">
        <v>95.5</v>
      </c>
      <c r="E98" s="2" t="n">
        <v>1612</v>
      </c>
      <c r="F98" s="2" t="n">
        <v>31.4</v>
      </c>
      <c r="G98" s="2" t="n">
        <v>150.2</v>
      </c>
      <c r="H98" s="2" t="n">
        <v>2297.5</v>
      </c>
    </row>
    <row r="99" customFormat="false" ht="15" hidden="false" customHeight="false" outlineLevel="0" collapsed="false">
      <c r="A99" s="2" t="n">
        <v>98</v>
      </c>
      <c r="B99" s="2" t="s">
        <v>8</v>
      </c>
      <c r="C99" s="2" t="s">
        <v>11</v>
      </c>
      <c r="D99" s="2" t="n">
        <v>61.4</v>
      </c>
      <c r="E99" s="2" t="n">
        <v>1757</v>
      </c>
      <c r="F99" s="2" t="n">
        <v>26.7</v>
      </c>
      <c r="G99" s="2" t="n">
        <v>298.5</v>
      </c>
      <c r="H99" s="2" t="n">
        <v>2414.1</v>
      </c>
    </row>
    <row r="100" customFormat="false" ht="15" hidden="false" customHeight="false" outlineLevel="0" collapsed="false">
      <c r="A100" s="2" t="n">
        <v>99</v>
      </c>
      <c r="B100" s="2" t="s">
        <v>15</v>
      </c>
      <c r="C100" s="2" t="s">
        <v>11</v>
      </c>
      <c r="D100" s="2" t="n">
        <v>88.4</v>
      </c>
      <c r="E100" s="2" t="n">
        <v>1447</v>
      </c>
      <c r="F100" s="2" t="n">
        <v>32.2</v>
      </c>
      <c r="G100" s="2" t="n">
        <v>124.3</v>
      </c>
      <c r="H100" s="2" t="n">
        <v>2307.5</v>
      </c>
    </row>
    <row r="101" customFormat="false" ht="15" hidden="false" customHeight="false" outlineLevel="0" collapsed="false">
      <c r="A101" s="2" t="n">
        <v>100</v>
      </c>
      <c r="B101" s="2" t="s">
        <v>15</v>
      </c>
      <c r="C101" s="2" t="s">
        <v>16</v>
      </c>
      <c r="D101" s="2" t="n">
        <v>79.5</v>
      </c>
      <c r="E101" s="2" t="n">
        <v>902</v>
      </c>
      <c r="F101" s="2" t="n">
        <v>32.6</v>
      </c>
      <c r="G101" s="2" t="n">
        <v>74.8</v>
      </c>
      <c r="H101" s="2" t="n">
        <v>1841.5</v>
      </c>
    </row>
    <row r="102" customFormat="false" ht="15" hidden="false" customHeight="false" outlineLevel="0" collapsed="false">
      <c r="A102" s="2" t="n">
        <v>101</v>
      </c>
      <c r="B102" s="2" t="s">
        <v>14</v>
      </c>
      <c r="C102" s="2" t="s">
        <v>16</v>
      </c>
      <c r="D102" s="2" t="n">
        <v>83.4</v>
      </c>
      <c r="E102" s="2" t="n">
        <v>1067</v>
      </c>
      <c r="F102" s="2" t="n">
        <v>25.6</v>
      </c>
      <c r="G102" s="2" t="n">
        <v>68.8</v>
      </c>
      <c r="H102" s="2" t="n">
        <v>1596.5</v>
      </c>
    </row>
    <row r="103" customFormat="false" ht="15" hidden="false" customHeight="false" outlineLevel="0" collapsed="false">
      <c r="A103" s="2" t="n">
        <v>102</v>
      </c>
      <c r="B103" s="2" t="s">
        <v>15</v>
      </c>
      <c r="C103" s="2" t="s">
        <v>12</v>
      </c>
      <c r="D103" s="2" t="n">
        <v>67.5</v>
      </c>
      <c r="E103" s="2" t="n">
        <v>1194</v>
      </c>
      <c r="F103" s="2" t="n">
        <v>30.4</v>
      </c>
      <c r="G103" s="2" t="n">
        <v>225.7</v>
      </c>
      <c r="H103" s="2" t="n">
        <v>2163</v>
      </c>
    </row>
    <row r="104" customFormat="false" ht="15" hidden="false" customHeight="false" outlineLevel="0" collapsed="false">
      <c r="A104" s="2" t="n">
        <v>103</v>
      </c>
      <c r="B104" s="2" t="s">
        <v>14</v>
      </c>
      <c r="C104" s="2" t="s">
        <v>16</v>
      </c>
      <c r="D104" s="2" t="n">
        <v>88.9</v>
      </c>
      <c r="E104" s="2" t="n">
        <v>1863</v>
      </c>
      <c r="F104" s="2" t="n">
        <v>30</v>
      </c>
      <c r="G104" s="2" t="n">
        <v>283.4</v>
      </c>
      <c r="H104" s="2" t="n">
        <v>2990.3</v>
      </c>
    </row>
    <row r="105" customFormat="false" ht="15" hidden="false" customHeight="false" outlineLevel="0" collapsed="false">
      <c r="A105" s="2" t="n">
        <v>104</v>
      </c>
      <c r="B105" s="2" t="s">
        <v>10</v>
      </c>
      <c r="C105" s="2" t="s">
        <v>11</v>
      </c>
      <c r="D105" s="2" t="n">
        <v>82.8</v>
      </c>
      <c r="E105" s="2" t="n">
        <v>2344</v>
      </c>
      <c r="F105" s="2" t="n">
        <v>31.4</v>
      </c>
      <c r="G105" s="2" t="n">
        <v>67.9</v>
      </c>
      <c r="H105" s="2" t="n">
        <v>2281.3</v>
      </c>
    </row>
    <row r="106" customFormat="false" ht="15" hidden="false" customHeight="false" outlineLevel="0" collapsed="false">
      <c r="A106" s="2" t="n">
        <v>105</v>
      </c>
      <c r="B106" s="2" t="s">
        <v>13</v>
      </c>
      <c r="C106" s="2" t="s">
        <v>16</v>
      </c>
      <c r="D106" s="2" t="n">
        <v>73.9</v>
      </c>
      <c r="E106" s="2" t="n">
        <v>1597</v>
      </c>
      <c r="F106" s="2" t="n">
        <v>26.7</v>
      </c>
      <c r="G106" s="2" t="n">
        <v>150.6</v>
      </c>
      <c r="H106" s="2" t="n">
        <v>2170.1</v>
      </c>
    </row>
    <row r="107" customFormat="false" ht="15" hidden="false" customHeight="false" outlineLevel="0" collapsed="false">
      <c r="A107" s="2" t="n">
        <v>106</v>
      </c>
      <c r="B107" s="2" t="s">
        <v>10</v>
      </c>
      <c r="C107" s="2" t="s">
        <v>12</v>
      </c>
      <c r="D107" s="2" t="n">
        <v>73.8</v>
      </c>
      <c r="E107" s="2" t="n">
        <v>1817</v>
      </c>
      <c r="F107" s="2" t="n">
        <v>32</v>
      </c>
      <c r="G107" s="2" t="n">
        <v>233.6</v>
      </c>
      <c r="H107" s="2" t="n">
        <v>2618.5</v>
      </c>
    </row>
    <row r="108" customFormat="false" ht="15" hidden="false" customHeight="false" outlineLevel="0" collapsed="false">
      <c r="A108" s="2" t="n">
        <v>107</v>
      </c>
      <c r="B108" s="2" t="s">
        <v>8</v>
      </c>
      <c r="C108" s="2" t="s">
        <v>9</v>
      </c>
      <c r="D108" s="2" t="n">
        <v>64.8</v>
      </c>
      <c r="E108" s="2" t="n">
        <v>1946</v>
      </c>
      <c r="F108" s="2" t="n">
        <v>31.7</v>
      </c>
      <c r="G108" s="2" t="n">
        <v>196.8</v>
      </c>
      <c r="H108" s="2" t="n">
        <v>2099.8</v>
      </c>
    </row>
    <row r="109" customFormat="false" ht="15" hidden="false" customHeight="false" outlineLevel="0" collapsed="false">
      <c r="A109" s="2" t="n">
        <v>108</v>
      </c>
      <c r="B109" s="2" t="s">
        <v>13</v>
      </c>
      <c r="C109" s="2" t="s">
        <v>9</v>
      </c>
      <c r="D109" s="2" t="n">
        <v>87.8</v>
      </c>
      <c r="E109" s="2" t="n">
        <v>1098</v>
      </c>
      <c r="F109" s="2" t="n">
        <v>28.7</v>
      </c>
      <c r="G109" s="2" t="n">
        <v>160.6</v>
      </c>
      <c r="H109" s="2" t="n">
        <v>2186.7</v>
      </c>
    </row>
    <row r="110" customFormat="false" ht="15" hidden="false" customHeight="false" outlineLevel="0" collapsed="false">
      <c r="A110" s="2" t="n">
        <v>109</v>
      </c>
      <c r="B110" s="2" t="s">
        <v>10</v>
      </c>
      <c r="C110" s="2" t="s">
        <v>12</v>
      </c>
      <c r="D110" s="2" t="n">
        <v>82.3</v>
      </c>
      <c r="E110" s="2" t="n">
        <v>1636</v>
      </c>
      <c r="F110" s="2" t="n">
        <v>24.8</v>
      </c>
      <c r="G110" s="2" t="n">
        <v>137</v>
      </c>
      <c r="H110" s="2" t="n">
        <v>2235.5</v>
      </c>
    </row>
    <row r="111" customFormat="false" ht="15" hidden="false" customHeight="false" outlineLevel="0" collapsed="false">
      <c r="A111" s="2" t="n">
        <v>110</v>
      </c>
      <c r="B111" s="2" t="s">
        <v>8</v>
      </c>
      <c r="C111" s="2" t="s">
        <v>11</v>
      </c>
      <c r="D111" s="2" t="n">
        <v>69.2</v>
      </c>
      <c r="E111" s="2" t="n">
        <v>1979</v>
      </c>
      <c r="F111" s="2" t="n">
        <v>26.6</v>
      </c>
      <c r="G111" s="2" t="n">
        <v>286.3</v>
      </c>
      <c r="H111" s="2" t="n">
        <v>3018.5</v>
      </c>
    </row>
    <row r="112" customFormat="false" ht="15" hidden="false" customHeight="false" outlineLevel="0" collapsed="false">
      <c r="A112" s="2" t="n">
        <v>111</v>
      </c>
      <c r="B112" s="2" t="s">
        <v>10</v>
      </c>
      <c r="C112" s="2" t="s">
        <v>9</v>
      </c>
      <c r="D112" s="2" t="n">
        <v>74.6</v>
      </c>
      <c r="E112" s="2" t="n">
        <v>1335</v>
      </c>
      <c r="F112" s="2" t="n">
        <v>26.9</v>
      </c>
      <c r="G112" s="2" t="n">
        <v>292.5</v>
      </c>
      <c r="H112" s="2" t="n">
        <v>2562.5</v>
      </c>
    </row>
    <row r="113" customFormat="false" ht="15" hidden="false" customHeight="false" outlineLevel="0" collapsed="false">
      <c r="A113" s="2" t="n">
        <v>112</v>
      </c>
      <c r="B113" s="2" t="s">
        <v>10</v>
      </c>
      <c r="C113" s="2" t="s">
        <v>9</v>
      </c>
      <c r="D113" s="2" t="n">
        <v>83.3</v>
      </c>
      <c r="E113" s="2" t="n">
        <v>1722</v>
      </c>
      <c r="F113" s="2" t="n">
        <v>27.7</v>
      </c>
      <c r="G113" s="2" t="n">
        <v>96.9</v>
      </c>
      <c r="H113" s="2" t="n">
        <v>2306.3</v>
      </c>
    </row>
    <row r="114" customFormat="false" ht="15" hidden="false" customHeight="false" outlineLevel="0" collapsed="false">
      <c r="A114" s="2" t="n">
        <v>113</v>
      </c>
      <c r="B114" s="2" t="s">
        <v>15</v>
      </c>
      <c r="C114" s="2" t="s">
        <v>12</v>
      </c>
      <c r="D114" s="2" t="n">
        <v>87.7</v>
      </c>
      <c r="E114" s="2" t="n">
        <v>1146</v>
      </c>
      <c r="F114" s="2" t="n">
        <v>28.9</v>
      </c>
      <c r="G114" s="2" t="n">
        <v>281.9</v>
      </c>
      <c r="H114" s="2" t="n">
        <v>2661.1</v>
      </c>
    </row>
    <row r="115" customFormat="false" ht="15" hidden="false" customHeight="false" outlineLevel="0" collapsed="false">
      <c r="A115" s="2" t="n">
        <v>114</v>
      </c>
      <c r="B115" s="2" t="s">
        <v>15</v>
      </c>
      <c r="C115" s="2" t="s">
        <v>9</v>
      </c>
      <c r="D115" s="2" t="n">
        <v>56.2</v>
      </c>
      <c r="E115" s="2" t="n">
        <v>1871</v>
      </c>
      <c r="F115" s="2" t="n">
        <v>31.2</v>
      </c>
      <c r="G115" s="2" t="n">
        <v>227.4</v>
      </c>
      <c r="H115" s="2" t="n">
        <v>2219.2</v>
      </c>
    </row>
    <row r="116" customFormat="false" ht="15" hidden="false" customHeight="false" outlineLevel="0" collapsed="false">
      <c r="A116" s="2" t="n">
        <v>115</v>
      </c>
      <c r="B116" s="2" t="s">
        <v>8</v>
      </c>
      <c r="C116" s="2" t="s">
        <v>12</v>
      </c>
      <c r="D116" s="2" t="n">
        <v>59</v>
      </c>
      <c r="E116" s="2" t="n">
        <v>2487</v>
      </c>
      <c r="F116" s="2" t="n">
        <v>32.2</v>
      </c>
      <c r="G116" s="2" t="n">
        <v>165.4</v>
      </c>
      <c r="H116" s="2" t="n">
        <v>2227.2</v>
      </c>
    </row>
    <row r="117" customFormat="false" ht="15" hidden="false" customHeight="false" outlineLevel="0" collapsed="false">
      <c r="A117" s="2" t="n">
        <v>116</v>
      </c>
      <c r="B117" s="2" t="s">
        <v>14</v>
      </c>
      <c r="C117" s="2" t="s">
        <v>12</v>
      </c>
      <c r="D117" s="2" t="n">
        <v>95.1</v>
      </c>
      <c r="E117" s="2" t="n">
        <v>1296</v>
      </c>
      <c r="F117" s="2" t="n">
        <v>30.3</v>
      </c>
      <c r="G117" s="2" t="n">
        <v>153.9</v>
      </c>
      <c r="H117" s="2" t="n">
        <v>2433.7</v>
      </c>
    </row>
    <row r="118" customFormat="false" ht="15" hidden="false" customHeight="false" outlineLevel="0" collapsed="false">
      <c r="A118" s="2" t="n">
        <v>117</v>
      </c>
      <c r="B118" s="2" t="s">
        <v>15</v>
      </c>
      <c r="C118" s="2" t="s">
        <v>11</v>
      </c>
      <c r="D118" s="2" t="n">
        <v>74.6</v>
      </c>
      <c r="E118" s="2" t="n">
        <v>1046</v>
      </c>
      <c r="F118" s="2" t="n">
        <v>25.7</v>
      </c>
      <c r="G118" s="2" t="n">
        <v>199.8</v>
      </c>
      <c r="H118" s="2" t="n">
        <v>2297.2</v>
      </c>
    </row>
    <row r="119" customFormat="false" ht="15" hidden="false" customHeight="false" outlineLevel="0" collapsed="false">
      <c r="A119" s="2" t="n">
        <v>118</v>
      </c>
      <c r="B119" s="2" t="s">
        <v>14</v>
      </c>
      <c r="C119" s="2" t="s">
        <v>9</v>
      </c>
      <c r="D119" s="2" t="n">
        <v>66.9</v>
      </c>
      <c r="E119" s="2" t="n">
        <v>2143</v>
      </c>
      <c r="F119" s="2" t="n">
        <v>27.7</v>
      </c>
      <c r="G119" s="2" t="n">
        <v>283.6</v>
      </c>
      <c r="H119" s="2" t="n">
        <v>2918.4</v>
      </c>
    </row>
    <row r="120" customFormat="false" ht="15" hidden="false" customHeight="false" outlineLevel="0" collapsed="false">
      <c r="A120" s="2" t="n">
        <v>119</v>
      </c>
      <c r="B120" s="2" t="s">
        <v>8</v>
      </c>
      <c r="C120" s="2" t="s">
        <v>16</v>
      </c>
      <c r="D120" s="2" t="n">
        <v>86.2</v>
      </c>
      <c r="E120" s="2" t="n">
        <v>2224</v>
      </c>
      <c r="F120" s="2" t="n">
        <v>29.2</v>
      </c>
      <c r="G120" s="2" t="n">
        <v>215</v>
      </c>
      <c r="H120" s="2" t="n">
        <v>3221.2</v>
      </c>
    </row>
    <row r="121" customFormat="false" ht="15" hidden="false" customHeight="false" outlineLevel="0" collapsed="false">
      <c r="A121" s="2" t="n">
        <v>120</v>
      </c>
      <c r="B121" s="2" t="s">
        <v>15</v>
      </c>
      <c r="C121" s="2" t="s">
        <v>12</v>
      </c>
      <c r="D121" s="2" t="n">
        <v>69.8</v>
      </c>
      <c r="E121" s="2" t="n">
        <v>1738</v>
      </c>
      <c r="F121" s="2" t="n">
        <v>28.9</v>
      </c>
      <c r="G121" s="2" t="n">
        <v>163.8</v>
      </c>
      <c r="H121" s="2" t="n">
        <v>2264.5</v>
      </c>
    </row>
    <row r="122" customFormat="false" ht="15" hidden="false" customHeight="false" outlineLevel="0" collapsed="false">
      <c r="A122" s="2" t="n">
        <v>121</v>
      </c>
      <c r="B122" s="2" t="s">
        <v>14</v>
      </c>
      <c r="C122" s="2" t="s">
        <v>11</v>
      </c>
      <c r="D122" s="2" t="n">
        <v>79.6</v>
      </c>
      <c r="E122" s="2" t="n">
        <v>1197</v>
      </c>
      <c r="F122" s="2" t="n">
        <v>31</v>
      </c>
      <c r="G122" s="2" t="n">
        <v>60.9</v>
      </c>
      <c r="H122" s="2" t="n">
        <v>2002</v>
      </c>
    </row>
    <row r="123" customFormat="false" ht="15" hidden="false" customHeight="false" outlineLevel="0" collapsed="false">
      <c r="A123" s="2" t="n">
        <v>122</v>
      </c>
      <c r="B123" s="2" t="s">
        <v>15</v>
      </c>
      <c r="C123" s="2" t="s">
        <v>12</v>
      </c>
      <c r="D123" s="2" t="n">
        <v>97.5</v>
      </c>
      <c r="E123" s="2" t="n">
        <v>2147</v>
      </c>
      <c r="F123" s="2" t="n">
        <v>29.9</v>
      </c>
      <c r="G123" s="2" t="n">
        <v>88</v>
      </c>
      <c r="H123" s="2" t="n">
        <v>3002.9</v>
      </c>
    </row>
    <row r="124" customFormat="false" ht="15" hidden="false" customHeight="false" outlineLevel="0" collapsed="false">
      <c r="A124" s="2" t="n">
        <v>123</v>
      </c>
      <c r="B124" s="2" t="s">
        <v>14</v>
      </c>
      <c r="C124" s="2" t="s">
        <v>16</v>
      </c>
      <c r="D124" s="2" t="n">
        <v>92.4</v>
      </c>
      <c r="E124" s="2" t="n">
        <v>2286</v>
      </c>
      <c r="F124" s="2" t="n">
        <v>28</v>
      </c>
      <c r="G124" s="2" t="n">
        <v>181.5</v>
      </c>
      <c r="H124" s="2" t="n">
        <v>3047.7</v>
      </c>
    </row>
    <row r="125" customFormat="false" ht="15" hidden="false" customHeight="false" outlineLevel="0" collapsed="false">
      <c r="A125" s="2" t="n">
        <v>124</v>
      </c>
      <c r="B125" s="2" t="s">
        <v>14</v>
      </c>
      <c r="C125" s="2" t="s">
        <v>12</v>
      </c>
      <c r="D125" s="2" t="n">
        <v>92.5</v>
      </c>
      <c r="E125" s="2" t="n">
        <v>2449</v>
      </c>
      <c r="F125" s="2" t="n">
        <v>24.7</v>
      </c>
      <c r="G125" s="2" t="n">
        <v>245.4</v>
      </c>
      <c r="H125" s="2" t="n">
        <v>3075.2</v>
      </c>
    </row>
    <row r="126" customFormat="false" ht="15" hidden="false" customHeight="false" outlineLevel="0" collapsed="false">
      <c r="A126" s="2" t="n">
        <v>125</v>
      </c>
      <c r="B126" s="2" t="s">
        <v>10</v>
      </c>
      <c r="C126" s="2" t="s">
        <v>12</v>
      </c>
      <c r="D126" s="2" t="n">
        <v>82.9</v>
      </c>
      <c r="E126" s="2" t="n">
        <v>2248</v>
      </c>
      <c r="F126" s="2" t="n">
        <v>31.7</v>
      </c>
      <c r="G126" s="2" t="n">
        <v>264.8</v>
      </c>
      <c r="H126" s="2" t="n">
        <v>2941.9</v>
      </c>
    </row>
    <row r="127" customFormat="false" ht="15" hidden="false" customHeight="false" outlineLevel="0" collapsed="false">
      <c r="A127" s="2" t="n">
        <v>126</v>
      </c>
      <c r="B127" s="2" t="s">
        <v>13</v>
      </c>
      <c r="C127" s="2" t="s">
        <v>12</v>
      </c>
      <c r="D127" s="2" t="n">
        <v>92.5</v>
      </c>
      <c r="E127" s="2" t="n">
        <v>861</v>
      </c>
      <c r="F127" s="2" t="n">
        <v>24.6</v>
      </c>
      <c r="G127" s="2" t="n">
        <v>207.8</v>
      </c>
      <c r="H127" s="2" t="n">
        <v>2558</v>
      </c>
    </row>
    <row r="128" customFormat="false" ht="15" hidden="false" customHeight="false" outlineLevel="0" collapsed="false">
      <c r="A128" s="2" t="n">
        <v>127</v>
      </c>
      <c r="B128" s="2" t="s">
        <v>14</v>
      </c>
      <c r="C128" s="2" t="s">
        <v>9</v>
      </c>
      <c r="D128" s="2" t="n">
        <v>73.7</v>
      </c>
      <c r="E128" s="2" t="n">
        <v>967</v>
      </c>
      <c r="F128" s="2" t="n">
        <v>29.7</v>
      </c>
      <c r="G128" s="2" t="n">
        <v>268.1</v>
      </c>
      <c r="H128" s="2" t="n">
        <v>2291.5</v>
      </c>
    </row>
    <row r="129" customFormat="false" ht="15" hidden="false" customHeight="false" outlineLevel="0" collapsed="false">
      <c r="A129" s="2" t="n">
        <v>128</v>
      </c>
      <c r="B129" s="2" t="s">
        <v>13</v>
      </c>
      <c r="C129" s="2" t="s">
        <v>9</v>
      </c>
      <c r="D129" s="2" t="n">
        <v>57</v>
      </c>
      <c r="E129" s="2" t="n">
        <v>2153</v>
      </c>
      <c r="F129" s="2" t="n">
        <v>26.6</v>
      </c>
      <c r="G129" s="2" t="n">
        <v>143.7</v>
      </c>
      <c r="H129" s="2" t="n">
        <v>2093.9</v>
      </c>
    </row>
    <row r="130" customFormat="false" ht="15" hidden="false" customHeight="false" outlineLevel="0" collapsed="false">
      <c r="A130" s="2" t="n">
        <v>129</v>
      </c>
      <c r="B130" s="2" t="s">
        <v>10</v>
      </c>
      <c r="C130" s="2" t="s">
        <v>12</v>
      </c>
      <c r="D130" s="2" t="n">
        <v>79.3</v>
      </c>
      <c r="E130" s="2" t="n">
        <v>2147</v>
      </c>
      <c r="F130" s="2" t="n">
        <v>25.5</v>
      </c>
      <c r="G130" s="2" t="n">
        <v>69.7</v>
      </c>
      <c r="H130" s="2" t="n">
        <v>2594.6</v>
      </c>
    </row>
    <row r="131" customFormat="false" ht="15" hidden="false" customHeight="false" outlineLevel="0" collapsed="false">
      <c r="A131" s="2" t="n">
        <v>130</v>
      </c>
      <c r="B131" s="2" t="s">
        <v>10</v>
      </c>
      <c r="C131" s="2" t="s">
        <v>11</v>
      </c>
      <c r="D131" s="2" t="n">
        <v>76.4</v>
      </c>
      <c r="E131" s="2" t="n">
        <v>1791</v>
      </c>
      <c r="F131" s="2" t="n">
        <v>26.1</v>
      </c>
      <c r="G131" s="2" t="n">
        <v>209.5</v>
      </c>
      <c r="H131" s="2" t="n">
        <v>2569.7</v>
      </c>
    </row>
    <row r="132" customFormat="false" ht="15" hidden="false" customHeight="false" outlineLevel="0" collapsed="false">
      <c r="A132" s="2" t="n">
        <v>131</v>
      </c>
      <c r="B132" s="2" t="s">
        <v>8</v>
      </c>
      <c r="C132" s="2" t="s">
        <v>12</v>
      </c>
      <c r="D132" s="2" t="n">
        <v>93.8</v>
      </c>
      <c r="E132" s="2" t="n">
        <v>1952</v>
      </c>
      <c r="F132" s="2" t="n">
        <v>25.4</v>
      </c>
      <c r="G132" s="2" t="n">
        <v>160.4</v>
      </c>
      <c r="H132" s="2" t="n">
        <v>2667.5</v>
      </c>
    </row>
    <row r="133" customFormat="false" ht="15" hidden="false" customHeight="false" outlineLevel="0" collapsed="false">
      <c r="A133" s="2" t="n">
        <v>132</v>
      </c>
      <c r="B133" s="2" t="s">
        <v>10</v>
      </c>
      <c r="C133" s="2" t="s">
        <v>16</v>
      </c>
      <c r="D133" s="2" t="n">
        <v>82.5</v>
      </c>
      <c r="E133" s="2" t="n">
        <v>1521</v>
      </c>
      <c r="F133" s="2" t="n">
        <v>26.3</v>
      </c>
      <c r="G133" s="2" t="n">
        <v>261.3</v>
      </c>
      <c r="H133" s="2" t="n">
        <v>2533.4</v>
      </c>
    </row>
    <row r="134" customFormat="false" ht="15" hidden="false" customHeight="false" outlineLevel="0" collapsed="false">
      <c r="A134" s="2" t="n">
        <v>133</v>
      </c>
      <c r="B134" s="2" t="s">
        <v>15</v>
      </c>
      <c r="C134" s="2" t="s">
        <v>12</v>
      </c>
      <c r="D134" s="2" t="n">
        <v>59.6</v>
      </c>
      <c r="E134" s="2" t="n">
        <v>1448</v>
      </c>
      <c r="F134" s="2" t="n">
        <v>27.2</v>
      </c>
      <c r="G134" s="2" t="n">
        <v>124</v>
      </c>
      <c r="H134" s="2" t="n">
        <v>2077.6</v>
      </c>
    </row>
    <row r="135" customFormat="false" ht="15" hidden="false" customHeight="false" outlineLevel="0" collapsed="false">
      <c r="A135" s="2" t="n">
        <v>134</v>
      </c>
      <c r="B135" s="2" t="s">
        <v>8</v>
      </c>
      <c r="C135" s="2" t="s">
        <v>12</v>
      </c>
      <c r="D135" s="2" t="n">
        <v>66.8</v>
      </c>
      <c r="E135" s="2" t="n">
        <v>1762</v>
      </c>
      <c r="F135" s="2" t="n">
        <v>30.2</v>
      </c>
      <c r="G135" s="2" t="n">
        <v>236.2</v>
      </c>
      <c r="H135" s="2" t="n">
        <v>2233</v>
      </c>
    </row>
    <row r="136" customFormat="false" ht="15" hidden="false" customHeight="false" outlineLevel="0" collapsed="false">
      <c r="A136" s="2" t="n">
        <v>135</v>
      </c>
      <c r="B136" s="2" t="s">
        <v>10</v>
      </c>
      <c r="C136" s="2" t="s">
        <v>12</v>
      </c>
      <c r="D136" s="2" t="n">
        <v>90.8</v>
      </c>
      <c r="E136" s="2" t="n">
        <v>2335</v>
      </c>
      <c r="F136" s="2" t="n">
        <v>31</v>
      </c>
      <c r="G136" s="2" t="n">
        <v>107.5</v>
      </c>
      <c r="H136" s="2" t="n">
        <v>2913.2</v>
      </c>
    </row>
    <row r="137" customFormat="false" ht="15" hidden="false" customHeight="false" outlineLevel="0" collapsed="false">
      <c r="A137" s="2" t="n">
        <v>136</v>
      </c>
      <c r="B137" s="2" t="s">
        <v>14</v>
      </c>
      <c r="C137" s="2" t="s">
        <v>11</v>
      </c>
      <c r="D137" s="2" t="n">
        <v>81.7</v>
      </c>
      <c r="E137" s="2" t="n">
        <v>1952</v>
      </c>
      <c r="F137" s="2" t="n">
        <v>30.5</v>
      </c>
      <c r="G137" s="2" t="n">
        <v>214.8</v>
      </c>
      <c r="H137" s="2" t="n">
        <v>2948.9</v>
      </c>
    </row>
    <row r="138" customFormat="false" ht="15" hidden="false" customHeight="false" outlineLevel="0" collapsed="false">
      <c r="A138" s="2" t="n">
        <v>137</v>
      </c>
      <c r="B138" s="2" t="s">
        <v>8</v>
      </c>
      <c r="C138" s="2" t="s">
        <v>9</v>
      </c>
      <c r="D138" s="2" t="n">
        <v>68.3</v>
      </c>
      <c r="E138" s="2" t="n">
        <v>1549</v>
      </c>
      <c r="F138" s="2" t="n">
        <v>29.2</v>
      </c>
      <c r="G138" s="2" t="n">
        <v>233.1</v>
      </c>
      <c r="H138" s="2" t="n">
        <v>2204.4</v>
      </c>
    </row>
    <row r="139" customFormat="false" ht="15" hidden="false" customHeight="false" outlineLevel="0" collapsed="false">
      <c r="A139" s="2" t="n">
        <v>138</v>
      </c>
      <c r="B139" s="2" t="s">
        <v>13</v>
      </c>
      <c r="C139" s="2" t="s">
        <v>16</v>
      </c>
      <c r="D139" s="2" t="n">
        <v>87.1</v>
      </c>
      <c r="E139" s="2" t="n">
        <v>1099</v>
      </c>
      <c r="F139" s="2" t="n">
        <v>25.2</v>
      </c>
      <c r="G139" s="2" t="n">
        <v>184.9</v>
      </c>
      <c r="H139" s="2" t="n">
        <v>2581.6</v>
      </c>
    </row>
    <row r="140" customFormat="false" ht="15" hidden="false" customHeight="false" outlineLevel="0" collapsed="false">
      <c r="A140" s="2" t="n">
        <v>139</v>
      </c>
      <c r="B140" s="2" t="s">
        <v>10</v>
      </c>
      <c r="C140" s="2" t="s">
        <v>16</v>
      </c>
      <c r="D140" s="2" t="n">
        <v>90.7</v>
      </c>
      <c r="E140" s="2" t="n">
        <v>1237</v>
      </c>
      <c r="F140" s="2" t="n">
        <v>31.4</v>
      </c>
      <c r="G140" s="2" t="n">
        <v>170.5</v>
      </c>
      <c r="H140" s="2" t="n">
        <v>2538.4</v>
      </c>
    </row>
    <row r="141" customFormat="false" ht="15" hidden="false" customHeight="false" outlineLevel="0" collapsed="false">
      <c r="A141" s="2" t="n">
        <v>140</v>
      </c>
      <c r="B141" s="2" t="s">
        <v>13</v>
      </c>
      <c r="C141" s="2" t="s">
        <v>9</v>
      </c>
      <c r="D141" s="2" t="n">
        <v>75.1</v>
      </c>
      <c r="E141" s="2" t="n">
        <v>928</v>
      </c>
      <c r="F141" s="2" t="n">
        <v>30.8</v>
      </c>
      <c r="G141" s="2" t="n">
        <v>106.4</v>
      </c>
      <c r="H141" s="2" t="n">
        <v>1903.5</v>
      </c>
    </row>
    <row r="142" customFormat="false" ht="15" hidden="false" customHeight="false" outlineLevel="0" collapsed="false">
      <c r="A142" s="2" t="n">
        <v>141</v>
      </c>
      <c r="B142" s="2" t="s">
        <v>15</v>
      </c>
      <c r="C142" s="2" t="s">
        <v>16</v>
      </c>
      <c r="D142" s="2" t="n">
        <v>58.9</v>
      </c>
      <c r="E142" s="2" t="n">
        <v>1471</v>
      </c>
      <c r="F142" s="2" t="n">
        <v>26.4</v>
      </c>
      <c r="G142" s="2" t="n">
        <v>80.9</v>
      </c>
      <c r="H142" s="2" t="n">
        <v>1718.9</v>
      </c>
    </row>
    <row r="143" customFormat="false" ht="15" hidden="false" customHeight="false" outlineLevel="0" collapsed="false">
      <c r="A143" s="2" t="n">
        <v>142</v>
      </c>
      <c r="B143" s="2" t="s">
        <v>13</v>
      </c>
      <c r="C143" s="2" t="s">
        <v>12</v>
      </c>
      <c r="D143" s="2" t="n">
        <v>90.4</v>
      </c>
      <c r="E143" s="2" t="n">
        <v>2398</v>
      </c>
      <c r="F143" s="2" t="n">
        <v>25</v>
      </c>
      <c r="G143" s="2" t="n">
        <v>108.5</v>
      </c>
      <c r="H143" s="2" t="n">
        <v>2475.5</v>
      </c>
    </row>
    <row r="144" customFormat="false" ht="15" hidden="false" customHeight="false" outlineLevel="0" collapsed="false">
      <c r="A144" s="2" t="n">
        <v>143</v>
      </c>
      <c r="B144" s="2" t="s">
        <v>10</v>
      </c>
      <c r="C144" s="2" t="s">
        <v>16</v>
      </c>
      <c r="D144" s="2" t="n">
        <v>94.4</v>
      </c>
      <c r="E144" s="2" t="n">
        <v>1176</v>
      </c>
      <c r="F144" s="2" t="n">
        <v>24.6</v>
      </c>
      <c r="G144" s="2" t="n">
        <v>256</v>
      </c>
      <c r="H144" s="2" t="n">
        <v>2881.6</v>
      </c>
    </row>
    <row r="145" customFormat="false" ht="15" hidden="false" customHeight="false" outlineLevel="0" collapsed="false">
      <c r="A145" s="2" t="n">
        <v>144</v>
      </c>
      <c r="B145" s="2" t="s">
        <v>13</v>
      </c>
      <c r="C145" s="2" t="s">
        <v>12</v>
      </c>
      <c r="D145" s="2" t="n">
        <v>60</v>
      </c>
      <c r="E145" s="2" t="n">
        <v>877</v>
      </c>
      <c r="F145" s="2" t="n">
        <v>24.3</v>
      </c>
      <c r="G145" s="2" t="n">
        <v>299</v>
      </c>
      <c r="H145" s="2" t="n">
        <v>1857.2</v>
      </c>
    </row>
    <row r="146" customFormat="false" ht="15" hidden="false" customHeight="false" outlineLevel="0" collapsed="false">
      <c r="A146" s="2" t="n">
        <v>145</v>
      </c>
      <c r="B146" s="2" t="s">
        <v>14</v>
      </c>
      <c r="C146" s="2" t="s">
        <v>11</v>
      </c>
      <c r="D146" s="2" t="n">
        <v>71.7</v>
      </c>
      <c r="E146" s="2" t="n">
        <v>1431</v>
      </c>
      <c r="F146" s="2" t="n">
        <v>32.5</v>
      </c>
      <c r="G146" s="2" t="n">
        <v>224.1</v>
      </c>
      <c r="H146" s="2" t="n">
        <v>2307.4</v>
      </c>
    </row>
    <row r="147" customFormat="false" ht="15" hidden="false" customHeight="false" outlineLevel="0" collapsed="false">
      <c r="A147" s="2" t="n">
        <v>146</v>
      </c>
      <c r="B147" s="2" t="s">
        <v>10</v>
      </c>
      <c r="C147" s="2" t="s">
        <v>11</v>
      </c>
      <c r="D147" s="2" t="n">
        <v>93.1</v>
      </c>
      <c r="E147" s="2" t="n">
        <v>1913</v>
      </c>
      <c r="F147" s="2" t="n">
        <v>31.5</v>
      </c>
      <c r="G147" s="2" t="n">
        <v>203.9</v>
      </c>
      <c r="H147" s="2" t="n">
        <v>3088.1</v>
      </c>
    </row>
    <row r="148" customFormat="false" ht="15" hidden="false" customHeight="false" outlineLevel="0" collapsed="false">
      <c r="A148" s="2" t="n">
        <v>147</v>
      </c>
      <c r="B148" s="2" t="s">
        <v>13</v>
      </c>
      <c r="C148" s="2" t="s">
        <v>9</v>
      </c>
      <c r="D148" s="2" t="n">
        <v>84.7</v>
      </c>
      <c r="E148" s="2" t="n">
        <v>1169</v>
      </c>
      <c r="F148" s="2" t="n">
        <v>28</v>
      </c>
      <c r="G148" s="2" t="n">
        <v>109</v>
      </c>
      <c r="H148" s="2" t="n">
        <v>2099.6</v>
      </c>
    </row>
    <row r="149" customFormat="false" ht="15" hidden="false" customHeight="false" outlineLevel="0" collapsed="false">
      <c r="A149" s="2" t="n">
        <v>148</v>
      </c>
      <c r="B149" s="2" t="s">
        <v>13</v>
      </c>
      <c r="C149" s="2" t="s">
        <v>16</v>
      </c>
      <c r="D149" s="2" t="n">
        <v>57.6</v>
      </c>
      <c r="E149" s="2" t="n">
        <v>1269</v>
      </c>
      <c r="F149" s="2" t="n">
        <v>32.7</v>
      </c>
      <c r="G149" s="2" t="n">
        <v>287.3</v>
      </c>
      <c r="H149" s="2" t="n">
        <v>2366.9</v>
      </c>
    </row>
    <row r="150" customFormat="false" ht="15" hidden="false" customHeight="false" outlineLevel="0" collapsed="false">
      <c r="A150" s="2" t="n">
        <v>149</v>
      </c>
      <c r="B150" s="2" t="s">
        <v>8</v>
      </c>
      <c r="C150" s="2" t="s">
        <v>11</v>
      </c>
      <c r="D150" s="2" t="n">
        <v>82.6</v>
      </c>
      <c r="E150" s="2" t="n">
        <v>1815</v>
      </c>
      <c r="F150" s="2" t="n">
        <v>24.2</v>
      </c>
      <c r="G150" s="2" t="n">
        <v>246.7</v>
      </c>
      <c r="H150" s="2" t="n">
        <v>2580.7</v>
      </c>
    </row>
    <row r="151" customFormat="false" ht="15" hidden="false" customHeight="false" outlineLevel="0" collapsed="false">
      <c r="A151" s="2" t="n">
        <v>150</v>
      </c>
      <c r="B151" s="2" t="s">
        <v>14</v>
      </c>
      <c r="C151" s="2" t="s">
        <v>11</v>
      </c>
      <c r="D151" s="2" t="n">
        <v>58</v>
      </c>
      <c r="E151" s="2" t="n">
        <v>2101</v>
      </c>
      <c r="F151" s="2" t="n">
        <v>25.9</v>
      </c>
      <c r="G151" s="2" t="n">
        <v>104</v>
      </c>
      <c r="H151" s="2" t="n">
        <v>2370.3</v>
      </c>
    </row>
    <row r="152" customFormat="false" ht="15" hidden="false" customHeight="false" outlineLevel="0" collapsed="false">
      <c r="A152" s="2" t="n">
        <v>151</v>
      </c>
      <c r="B152" s="2" t="s">
        <v>13</v>
      </c>
      <c r="C152" s="2" t="s">
        <v>11</v>
      </c>
      <c r="D152" s="2" t="n">
        <v>88.9</v>
      </c>
      <c r="E152" s="2" t="n">
        <v>1813</v>
      </c>
      <c r="F152" s="2" t="n">
        <v>26.5</v>
      </c>
      <c r="G152" s="2" t="n">
        <v>296</v>
      </c>
      <c r="H152" s="2" t="n">
        <v>3360.5</v>
      </c>
    </row>
    <row r="153" customFormat="false" ht="15" hidden="false" customHeight="false" outlineLevel="0" collapsed="false">
      <c r="A153" s="2" t="n">
        <v>152</v>
      </c>
      <c r="B153" s="2" t="s">
        <v>10</v>
      </c>
      <c r="C153" s="2" t="s">
        <v>16</v>
      </c>
      <c r="D153" s="2" t="n">
        <v>89.3</v>
      </c>
      <c r="E153" s="2" t="n">
        <v>987</v>
      </c>
      <c r="F153" s="2" t="n">
        <v>31.8</v>
      </c>
      <c r="G153" s="2" t="n">
        <v>83</v>
      </c>
      <c r="H153" s="2" t="n">
        <v>1844.9</v>
      </c>
    </row>
    <row r="154" customFormat="false" ht="15" hidden="false" customHeight="false" outlineLevel="0" collapsed="false">
      <c r="A154" s="2" t="n">
        <v>153</v>
      </c>
      <c r="B154" s="2" t="s">
        <v>14</v>
      </c>
      <c r="C154" s="2" t="s">
        <v>16</v>
      </c>
      <c r="D154" s="2" t="n">
        <v>55.7</v>
      </c>
      <c r="E154" s="2" t="n">
        <v>1251</v>
      </c>
      <c r="F154" s="2" t="n">
        <v>25.1</v>
      </c>
      <c r="G154" s="2" t="n">
        <v>155.2</v>
      </c>
      <c r="H154" s="2" t="n">
        <v>1578.8</v>
      </c>
    </row>
    <row r="155" customFormat="false" ht="15" hidden="false" customHeight="false" outlineLevel="0" collapsed="false">
      <c r="A155" s="2" t="n">
        <v>154</v>
      </c>
      <c r="B155" s="2" t="s">
        <v>8</v>
      </c>
      <c r="C155" s="2" t="s">
        <v>12</v>
      </c>
      <c r="D155" s="2" t="n">
        <v>74.3</v>
      </c>
      <c r="E155" s="2" t="n">
        <v>1415</v>
      </c>
      <c r="F155" s="2" t="n">
        <v>29.3</v>
      </c>
      <c r="G155" s="2" t="n">
        <v>163</v>
      </c>
      <c r="H155" s="2" t="n">
        <v>2091.9</v>
      </c>
    </row>
    <row r="156" customFormat="false" ht="15" hidden="false" customHeight="false" outlineLevel="0" collapsed="false">
      <c r="A156" s="2" t="n">
        <v>155</v>
      </c>
      <c r="B156" s="2" t="s">
        <v>10</v>
      </c>
      <c r="C156" s="2" t="s">
        <v>9</v>
      </c>
      <c r="D156" s="2" t="n">
        <v>86.3</v>
      </c>
      <c r="E156" s="2" t="n">
        <v>2345</v>
      </c>
      <c r="F156" s="2" t="n">
        <v>29.9</v>
      </c>
      <c r="G156" s="2" t="n">
        <v>125.4</v>
      </c>
      <c r="H156" s="2" t="n">
        <v>2853.2</v>
      </c>
    </row>
    <row r="157" customFormat="false" ht="15" hidden="false" customHeight="false" outlineLevel="0" collapsed="false">
      <c r="A157" s="2" t="n">
        <v>156</v>
      </c>
      <c r="B157" s="2" t="s">
        <v>8</v>
      </c>
      <c r="C157" s="2" t="s">
        <v>9</v>
      </c>
      <c r="D157" s="2" t="n">
        <v>97.9</v>
      </c>
      <c r="E157" s="2" t="n">
        <v>2240</v>
      </c>
      <c r="F157" s="2" t="n">
        <v>27.8</v>
      </c>
      <c r="G157" s="2" t="n">
        <v>77</v>
      </c>
      <c r="H157" s="2" t="n">
        <v>2938.9</v>
      </c>
    </row>
    <row r="158" customFormat="false" ht="15" hidden="false" customHeight="false" outlineLevel="0" collapsed="false">
      <c r="A158" s="2" t="n">
        <v>157</v>
      </c>
      <c r="B158" s="2" t="s">
        <v>15</v>
      </c>
      <c r="C158" s="2" t="s">
        <v>9</v>
      </c>
      <c r="D158" s="2" t="n">
        <v>93.7</v>
      </c>
      <c r="E158" s="2" t="n">
        <v>1348</v>
      </c>
      <c r="F158" s="2" t="n">
        <v>25.3</v>
      </c>
      <c r="G158" s="2" t="n">
        <v>81.5</v>
      </c>
      <c r="H158" s="2" t="n">
        <v>2290.6</v>
      </c>
    </row>
    <row r="159" customFormat="false" ht="15" hidden="false" customHeight="false" outlineLevel="0" collapsed="false">
      <c r="A159" s="2" t="n">
        <v>158</v>
      </c>
      <c r="B159" s="2" t="s">
        <v>10</v>
      </c>
      <c r="C159" s="2" t="s">
        <v>16</v>
      </c>
      <c r="D159" s="2" t="n">
        <v>71.4</v>
      </c>
      <c r="E159" s="2" t="n">
        <v>1816</v>
      </c>
      <c r="F159" s="2" t="n">
        <v>26.7</v>
      </c>
      <c r="G159" s="2" t="n">
        <v>176.4</v>
      </c>
      <c r="H159" s="2" t="n">
        <v>2414.3</v>
      </c>
    </row>
    <row r="160" customFormat="false" ht="15" hidden="false" customHeight="false" outlineLevel="0" collapsed="false">
      <c r="A160" s="2" t="n">
        <v>159</v>
      </c>
      <c r="B160" s="2" t="s">
        <v>8</v>
      </c>
      <c r="C160" s="2" t="s">
        <v>11</v>
      </c>
      <c r="D160" s="2" t="n">
        <v>73.5</v>
      </c>
      <c r="E160" s="2" t="n">
        <v>2310</v>
      </c>
      <c r="F160" s="2" t="n">
        <v>27.7</v>
      </c>
      <c r="G160" s="2" t="n">
        <v>256.9</v>
      </c>
      <c r="H160" s="2" t="n">
        <v>2955.4</v>
      </c>
    </row>
    <row r="161" customFormat="false" ht="15" hidden="false" customHeight="false" outlineLevel="0" collapsed="false">
      <c r="A161" s="2" t="n">
        <v>160</v>
      </c>
      <c r="B161" s="2" t="s">
        <v>8</v>
      </c>
      <c r="C161" s="2" t="s">
        <v>16</v>
      </c>
      <c r="D161" s="2" t="n">
        <v>73.4</v>
      </c>
      <c r="E161" s="2" t="n">
        <v>1931</v>
      </c>
      <c r="F161" s="2" t="n">
        <v>27.4</v>
      </c>
      <c r="G161" s="2" t="n">
        <v>88.2</v>
      </c>
      <c r="H161" s="2" t="n">
        <v>2560.9</v>
      </c>
    </row>
    <row r="162" customFormat="false" ht="15" hidden="false" customHeight="false" outlineLevel="0" collapsed="false">
      <c r="A162" s="2" t="n">
        <v>161</v>
      </c>
      <c r="B162" s="2" t="s">
        <v>8</v>
      </c>
      <c r="C162" s="2" t="s">
        <v>9</v>
      </c>
      <c r="D162" s="2" t="n">
        <v>90.8</v>
      </c>
      <c r="E162" s="2" t="n">
        <v>958</v>
      </c>
      <c r="F162" s="2" t="n">
        <v>24.9</v>
      </c>
      <c r="G162" s="2" t="n">
        <v>234.7</v>
      </c>
      <c r="H162" s="2" t="n">
        <v>2608.2</v>
      </c>
    </row>
    <row r="163" customFormat="false" ht="15" hidden="false" customHeight="false" outlineLevel="0" collapsed="false">
      <c r="A163" s="2" t="n">
        <v>162</v>
      </c>
      <c r="B163" s="2" t="s">
        <v>10</v>
      </c>
      <c r="C163" s="2" t="s">
        <v>9</v>
      </c>
      <c r="D163" s="2" t="n">
        <v>80.2</v>
      </c>
      <c r="E163" s="2" t="n">
        <v>1755</v>
      </c>
      <c r="F163" s="2" t="n">
        <v>27</v>
      </c>
      <c r="G163" s="2" t="n">
        <v>80.6</v>
      </c>
      <c r="H163" s="2" t="n">
        <v>2194.5</v>
      </c>
    </row>
    <row r="164" customFormat="false" ht="15" hidden="false" customHeight="false" outlineLevel="0" collapsed="false">
      <c r="A164" s="2" t="n">
        <v>163</v>
      </c>
      <c r="B164" s="2" t="s">
        <v>15</v>
      </c>
      <c r="C164" s="2" t="s">
        <v>9</v>
      </c>
      <c r="D164" s="2" t="n">
        <v>96.6</v>
      </c>
      <c r="E164" s="2" t="n">
        <v>1821</v>
      </c>
      <c r="F164" s="2" t="n">
        <v>27.2</v>
      </c>
      <c r="G164" s="2" t="n">
        <v>194.5</v>
      </c>
      <c r="H164" s="2" t="n">
        <v>2738.6</v>
      </c>
    </row>
    <row r="165" customFormat="false" ht="15" hidden="false" customHeight="false" outlineLevel="0" collapsed="false">
      <c r="A165" s="2" t="n">
        <v>164</v>
      </c>
      <c r="B165" s="2" t="s">
        <v>15</v>
      </c>
      <c r="C165" s="2" t="s">
        <v>11</v>
      </c>
      <c r="D165" s="2" t="n">
        <v>91.4</v>
      </c>
      <c r="E165" s="2" t="n">
        <v>1395</v>
      </c>
      <c r="F165" s="2" t="n">
        <v>29</v>
      </c>
      <c r="G165" s="2" t="n">
        <v>78.7</v>
      </c>
      <c r="H165" s="2" t="n">
        <v>2131.7</v>
      </c>
    </row>
    <row r="166" customFormat="false" ht="15" hidden="false" customHeight="false" outlineLevel="0" collapsed="false">
      <c r="A166" s="2" t="n">
        <v>165</v>
      </c>
      <c r="B166" s="2" t="s">
        <v>14</v>
      </c>
      <c r="C166" s="2" t="s">
        <v>12</v>
      </c>
      <c r="D166" s="2" t="n">
        <v>91.3</v>
      </c>
      <c r="E166" s="2" t="n">
        <v>2457</v>
      </c>
      <c r="F166" s="2" t="n">
        <v>31.4</v>
      </c>
      <c r="G166" s="2" t="n">
        <v>203.4</v>
      </c>
      <c r="H166" s="2" t="n">
        <v>3157.8</v>
      </c>
    </row>
    <row r="167" customFormat="false" ht="15" hidden="false" customHeight="false" outlineLevel="0" collapsed="false">
      <c r="A167" s="2" t="n">
        <v>166</v>
      </c>
      <c r="B167" s="2" t="s">
        <v>8</v>
      </c>
      <c r="C167" s="2" t="s">
        <v>16</v>
      </c>
      <c r="D167" s="2" t="n">
        <v>56.2</v>
      </c>
      <c r="E167" s="2" t="n">
        <v>1265</v>
      </c>
      <c r="F167" s="2" t="n">
        <v>30.9</v>
      </c>
      <c r="G167" s="2" t="n">
        <v>280.4</v>
      </c>
      <c r="H167" s="2" t="n">
        <v>2111.3</v>
      </c>
    </row>
    <row r="168" customFormat="false" ht="15" hidden="false" customHeight="false" outlineLevel="0" collapsed="false">
      <c r="A168" s="2" t="n">
        <v>167</v>
      </c>
      <c r="B168" s="2" t="s">
        <v>14</v>
      </c>
      <c r="C168" s="2" t="s">
        <v>11</v>
      </c>
      <c r="D168" s="2" t="n">
        <v>79.4</v>
      </c>
      <c r="E168" s="2" t="n">
        <v>1481</v>
      </c>
      <c r="F168" s="2" t="n">
        <v>25.3</v>
      </c>
      <c r="G168" s="2" t="n">
        <v>208.3</v>
      </c>
      <c r="H168" s="2" t="n">
        <v>2166.8</v>
      </c>
    </row>
    <row r="169" customFormat="false" ht="15" hidden="false" customHeight="false" outlineLevel="0" collapsed="false">
      <c r="A169" s="2" t="n">
        <v>168</v>
      </c>
      <c r="B169" s="2" t="s">
        <v>10</v>
      </c>
      <c r="C169" s="2" t="s">
        <v>11</v>
      </c>
      <c r="D169" s="2" t="n">
        <v>71.2</v>
      </c>
      <c r="E169" s="2" t="n">
        <v>1571</v>
      </c>
      <c r="F169" s="2" t="n">
        <v>25.4</v>
      </c>
      <c r="G169" s="2" t="n">
        <v>127.9</v>
      </c>
      <c r="H169" s="2" t="n">
        <v>2027.8</v>
      </c>
    </row>
    <row r="170" customFormat="false" ht="15" hidden="false" customHeight="false" outlineLevel="0" collapsed="false">
      <c r="A170" s="2" t="n">
        <v>169</v>
      </c>
      <c r="B170" s="2" t="s">
        <v>10</v>
      </c>
      <c r="C170" s="2" t="s">
        <v>9</v>
      </c>
      <c r="D170" s="2" t="n">
        <v>93</v>
      </c>
      <c r="E170" s="2" t="n">
        <v>1064</v>
      </c>
      <c r="F170" s="2" t="n">
        <v>30.8</v>
      </c>
      <c r="G170" s="2" t="n">
        <v>62.4</v>
      </c>
      <c r="H170" s="2" t="n">
        <v>1751.1</v>
      </c>
    </row>
    <row r="171" customFormat="false" ht="15" hidden="false" customHeight="false" outlineLevel="0" collapsed="false">
      <c r="A171" s="2" t="n">
        <v>170</v>
      </c>
      <c r="B171" s="2" t="s">
        <v>15</v>
      </c>
      <c r="C171" s="2" t="s">
        <v>12</v>
      </c>
      <c r="D171" s="2" t="n">
        <v>75.9</v>
      </c>
      <c r="E171" s="2" t="n">
        <v>1551</v>
      </c>
      <c r="F171" s="2" t="n">
        <v>26.5</v>
      </c>
      <c r="G171" s="2" t="n">
        <v>238.7</v>
      </c>
      <c r="H171" s="2" t="n">
        <v>2338.4</v>
      </c>
    </row>
    <row r="172" customFormat="false" ht="15" hidden="false" customHeight="false" outlineLevel="0" collapsed="false">
      <c r="A172" s="2" t="n">
        <v>171</v>
      </c>
      <c r="B172" s="2" t="s">
        <v>15</v>
      </c>
      <c r="C172" s="2" t="s">
        <v>9</v>
      </c>
      <c r="D172" s="2" t="n">
        <v>67.2</v>
      </c>
      <c r="E172" s="2" t="n">
        <v>1953</v>
      </c>
      <c r="F172" s="2" t="n">
        <v>28.4</v>
      </c>
      <c r="G172" s="2" t="n">
        <v>216.8</v>
      </c>
      <c r="H172" s="2" t="n">
        <v>2346.2</v>
      </c>
    </row>
    <row r="173" customFormat="false" ht="15" hidden="false" customHeight="false" outlineLevel="0" collapsed="false">
      <c r="A173" s="2" t="n">
        <v>172</v>
      </c>
      <c r="B173" s="2" t="s">
        <v>15</v>
      </c>
      <c r="C173" s="2" t="s">
        <v>9</v>
      </c>
      <c r="D173" s="2" t="n">
        <v>55.3</v>
      </c>
      <c r="E173" s="2" t="n">
        <v>1312</v>
      </c>
      <c r="F173" s="2" t="n">
        <v>25.9</v>
      </c>
      <c r="G173" s="2" t="n">
        <v>84.3</v>
      </c>
      <c r="H173" s="2" t="n">
        <v>1507.7</v>
      </c>
    </row>
    <row r="174" customFormat="false" ht="15" hidden="false" customHeight="false" outlineLevel="0" collapsed="false">
      <c r="A174" s="2" t="n">
        <v>173</v>
      </c>
      <c r="B174" s="2" t="s">
        <v>13</v>
      </c>
      <c r="C174" s="2" t="s">
        <v>9</v>
      </c>
      <c r="D174" s="2" t="n">
        <v>55.3</v>
      </c>
      <c r="E174" s="2" t="n">
        <v>2070</v>
      </c>
      <c r="F174" s="2" t="n">
        <v>25.6</v>
      </c>
      <c r="G174" s="2" t="n">
        <v>145.1</v>
      </c>
      <c r="H174" s="2" t="n">
        <v>2326</v>
      </c>
    </row>
    <row r="175" customFormat="false" ht="15" hidden="false" customHeight="false" outlineLevel="0" collapsed="false">
      <c r="A175" s="2" t="n">
        <v>174</v>
      </c>
      <c r="B175" s="2" t="s">
        <v>10</v>
      </c>
      <c r="C175" s="2" t="s">
        <v>16</v>
      </c>
      <c r="D175" s="2" t="n">
        <v>58.1</v>
      </c>
      <c r="E175" s="2" t="n">
        <v>2265</v>
      </c>
      <c r="F175" s="2" t="n">
        <v>24.4</v>
      </c>
      <c r="G175" s="2" t="n">
        <v>54.7</v>
      </c>
      <c r="H175" s="2" t="n">
        <v>2276.8</v>
      </c>
    </row>
    <row r="176" customFormat="false" ht="15" hidden="false" customHeight="false" outlineLevel="0" collapsed="false">
      <c r="A176" s="2" t="n">
        <v>175</v>
      </c>
      <c r="B176" s="2" t="s">
        <v>13</v>
      </c>
      <c r="C176" s="2" t="s">
        <v>12</v>
      </c>
      <c r="D176" s="2" t="n">
        <v>79.7</v>
      </c>
      <c r="E176" s="2" t="n">
        <v>2006</v>
      </c>
      <c r="F176" s="2" t="n">
        <v>27.8</v>
      </c>
      <c r="G176" s="2" t="n">
        <v>78.8</v>
      </c>
      <c r="H176" s="2" t="n">
        <v>2139.4</v>
      </c>
    </row>
    <row r="177" customFormat="false" ht="15" hidden="false" customHeight="false" outlineLevel="0" collapsed="false">
      <c r="A177" s="2" t="n">
        <v>176</v>
      </c>
      <c r="B177" s="2" t="s">
        <v>13</v>
      </c>
      <c r="C177" s="2" t="s">
        <v>11</v>
      </c>
      <c r="D177" s="2" t="n">
        <v>89.5</v>
      </c>
      <c r="E177" s="2" t="n">
        <v>1851</v>
      </c>
      <c r="F177" s="2" t="n">
        <v>31.5</v>
      </c>
      <c r="G177" s="2" t="n">
        <v>279.9</v>
      </c>
      <c r="H177" s="2" t="n">
        <v>2720.6</v>
      </c>
    </row>
    <row r="178" customFormat="false" ht="15" hidden="false" customHeight="false" outlineLevel="0" collapsed="false">
      <c r="A178" s="2" t="n">
        <v>177</v>
      </c>
      <c r="B178" s="2" t="s">
        <v>8</v>
      </c>
      <c r="C178" s="2" t="s">
        <v>11</v>
      </c>
      <c r="D178" s="2" t="n">
        <v>73.7</v>
      </c>
      <c r="E178" s="2" t="n">
        <v>1481</v>
      </c>
      <c r="F178" s="2" t="n">
        <v>24.7</v>
      </c>
      <c r="G178" s="2" t="n">
        <v>267.6</v>
      </c>
      <c r="H178" s="2" t="n">
        <v>2664.3</v>
      </c>
    </row>
    <row r="179" customFormat="false" ht="15" hidden="false" customHeight="false" outlineLevel="0" collapsed="false">
      <c r="A179" s="2" t="n">
        <v>178</v>
      </c>
      <c r="B179" s="2" t="s">
        <v>14</v>
      </c>
      <c r="C179" s="2" t="s">
        <v>16</v>
      </c>
      <c r="D179" s="2" t="n">
        <v>88.5</v>
      </c>
      <c r="E179" s="2" t="n">
        <v>930</v>
      </c>
      <c r="F179" s="2" t="n">
        <v>29.7</v>
      </c>
      <c r="G179" s="2" t="n">
        <v>182.7</v>
      </c>
      <c r="H179" s="2" t="n">
        <v>2088.9</v>
      </c>
    </row>
    <row r="180" customFormat="false" ht="15" hidden="false" customHeight="false" outlineLevel="0" collapsed="false">
      <c r="A180" s="2" t="n">
        <v>179</v>
      </c>
      <c r="B180" s="2" t="s">
        <v>13</v>
      </c>
      <c r="C180" s="2" t="s">
        <v>16</v>
      </c>
      <c r="D180" s="2" t="n">
        <v>86.3</v>
      </c>
      <c r="E180" s="2" t="n">
        <v>2192</v>
      </c>
      <c r="F180" s="2" t="n">
        <v>31.3</v>
      </c>
      <c r="G180" s="2" t="n">
        <v>109.1</v>
      </c>
      <c r="H180" s="2" t="n">
        <v>2373.7</v>
      </c>
    </row>
    <row r="181" customFormat="false" ht="15" hidden="false" customHeight="false" outlineLevel="0" collapsed="false">
      <c r="A181" s="2" t="n">
        <v>180</v>
      </c>
      <c r="B181" s="2" t="s">
        <v>14</v>
      </c>
      <c r="C181" s="2" t="s">
        <v>11</v>
      </c>
      <c r="D181" s="2" t="n">
        <v>80.9</v>
      </c>
      <c r="E181" s="2" t="n">
        <v>2092</v>
      </c>
      <c r="F181" s="2" t="n">
        <v>29.9</v>
      </c>
      <c r="G181" s="2" t="n">
        <v>94.3</v>
      </c>
      <c r="H181" s="2" t="n">
        <v>2630.1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4" min="2" style="0" width="20"/>
  </cols>
  <sheetData>
    <row r="1" customFormat="false" ht="15" hidden="false" customHeight="false" outlineLevel="0" collapsed="false">
      <c r="A1" s="3" t="s">
        <v>17</v>
      </c>
    </row>
    <row r="3" customFormat="false" ht="15" hidden="false" customHeight="false" outlineLevel="0" collapsed="false">
      <c r="A3" s="4" t="s">
        <v>1</v>
      </c>
      <c r="B3" s="4" t="s">
        <v>18</v>
      </c>
      <c r="C3" s="4" t="s">
        <v>19</v>
      </c>
      <c r="D3" s="4" t="s">
        <v>20</v>
      </c>
    </row>
    <row r="4" customFormat="false" ht="15" hidden="false" customHeight="false" outlineLevel="0" collapsed="false">
      <c r="A4" s="0" t="s">
        <v>8</v>
      </c>
      <c r="B4" s="5" t="n">
        <f aca="false">AVERAGEIF('Raw Data'!$B$2:$B$181,A4,'Raw Data'!$H$2:$H$181)</f>
        <v>2483.03783783784</v>
      </c>
      <c r="C4" s="5" t="n">
        <f aca="false">AVERAGEIF('Raw Data'!$B$2:$B$181,A4,'Raw Data'!$D$2:$D$181)</f>
        <v>74.7756756756757</v>
      </c>
      <c r="D4" s="5" t="n">
        <f aca="false">AVERAGEIF('Raw Data'!$B$2:$B$181,A4,'Raw Data'!$G$2:$G$181)</f>
        <v>197.572972972973</v>
      </c>
    </row>
    <row r="5" customFormat="false" ht="15" hidden="false" customHeight="false" outlineLevel="0" collapsed="false">
      <c r="A5" s="0" t="s">
        <v>14</v>
      </c>
      <c r="B5" s="5" t="n">
        <f aca="false">AVERAGEIF('Raw Data'!$B$2:$B$181,A5,'Raw Data'!$H$2:$H$181)</f>
        <v>2379.71875</v>
      </c>
      <c r="C5" s="5" t="n">
        <f aca="false">AVERAGEIF('Raw Data'!$B$2:$B$181,A5,'Raw Data'!$D$2:$D$181)</f>
        <v>78.14375</v>
      </c>
      <c r="D5" s="5" t="n">
        <f aca="false">AVERAGEIF('Raw Data'!$B$2:$B$181,A5,'Raw Data'!$G$2:$G$181)</f>
        <v>170.621875</v>
      </c>
    </row>
    <row r="6" customFormat="false" ht="15" hidden="false" customHeight="false" outlineLevel="0" collapsed="false">
      <c r="A6" s="0" t="s">
        <v>13</v>
      </c>
      <c r="B6" s="5" t="n">
        <f aca="false">AVERAGEIF('Raw Data'!$B$2:$B$181,A6,'Raw Data'!$H$2:$H$181)</f>
        <v>2355.16</v>
      </c>
      <c r="C6" s="5" t="n">
        <f aca="false">AVERAGEIF('Raw Data'!$B$2:$B$181,A6,'Raw Data'!$D$2:$D$181)</f>
        <v>77.6685714285714</v>
      </c>
      <c r="D6" s="5" t="n">
        <f aca="false">AVERAGEIF('Raw Data'!$B$2:$B$181,A6,'Raw Data'!$G$2:$G$181)</f>
        <v>159.728571428571</v>
      </c>
    </row>
    <row r="7" customFormat="false" ht="15" hidden="false" customHeight="false" outlineLevel="0" collapsed="false">
      <c r="A7" s="0" t="s">
        <v>15</v>
      </c>
      <c r="B7" s="5" t="n">
        <f aca="false">AVERAGEIF('Raw Data'!$B$2:$B$181,A7,'Raw Data'!$H$2:$H$181)</f>
        <v>2391.35714285714</v>
      </c>
      <c r="C7" s="5" t="n">
        <f aca="false">AVERAGEIF('Raw Data'!$B$2:$B$181,A7,'Raw Data'!$D$2:$D$181)</f>
        <v>77.7542857142857</v>
      </c>
      <c r="D7" s="5" t="n">
        <f aca="false">AVERAGEIF('Raw Data'!$B$2:$B$181,A7,'Raw Data'!$G$2:$G$181)</f>
        <v>161.497142857143</v>
      </c>
    </row>
    <row r="8" customFormat="false" ht="15" hidden="false" customHeight="false" outlineLevel="0" collapsed="false">
      <c r="A8" s="0" t="s">
        <v>10</v>
      </c>
      <c r="B8" s="5" t="n">
        <f aca="false">AVERAGEIF('Raw Data'!$B$2:$B$181,A8,'Raw Data'!$H$2:$H$181)</f>
        <v>2396.32682926829</v>
      </c>
      <c r="C8" s="5" t="n">
        <f aca="false">AVERAGEIF('Raw Data'!$B$2:$B$181,A8,'Raw Data'!$D$2:$D$181)</f>
        <v>80.0390243902439</v>
      </c>
      <c r="D8" s="5" t="n">
        <f aca="false">AVERAGEIF('Raw Data'!$B$2:$B$181,A8,'Raw Data'!$G$2:$G$181)</f>
        <v>158.163414634146</v>
      </c>
    </row>
    <row r="11" customFormat="false" ht="15" hidden="false" customHeight="false" outlineLevel="0" collapsed="false">
      <c r="A11" s="3" t="s">
        <v>21</v>
      </c>
    </row>
    <row r="13" customFormat="false" ht="15" hidden="false" customHeight="false" outlineLevel="0" collapsed="false">
      <c r="A13" s="4" t="s">
        <v>2</v>
      </c>
      <c r="B13" s="4" t="s">
        <v>18</v>
      </c>
    </row>
    <row r="14" customFormat="false" ht="15" hidden="false" customHeight="false" outlineLevel="0" collapsed="false">
      <c r="A14" s="0" t="s">
        <v>9</v>
      </c>
      <c r="B14" s="5" t="n">
        <f aca="false">AVERAGEIF('Raw Data'!$C$2:$C$181,A14,'Raw Data'!$H$2:$H$181)</f>
        <v>2354.292</v>
      </c>
    </row>
    <row r="15" customFormat="false" ht="15" hidden="false" customHeight="false" outlineLevel="0" collapsed="false">
      <c r="A15" s="0" t="s">
        <v>11</v>
      </c>
      <c r="B15" s="5" t="n">
        <f aca="false">AVERAGEIF('Raw Data'!$C$2:$C$181,A15,'Raw Data'!$H$2:$H$181)</f>
        <v>2430.70638297872</v>
      </c>
    </row>
    <row r="16" customFormat="false" ht="15" hidden="false" customHeight="false" outlineLevel="0" collapsed="false">
      <c r="A16" s="0" t="s">
        <v>16</v>
      </c>
      <c r="B16" s="5" t="n">
        <f aca="false">AVERAGEIF('Raw Data'!$C$2:$C$181,A16,'Raw Data'!$H$2:$H$181)</f>
        <v>2337.97631578947</v>
      </c>
    </row>
    <row r="17" customFormat="false" ht="15" hidden="false" customHeight="false" outlineLevel="0" collapsed="false">
      <c r="A17" s="0" t="s">
        <v>12</v>
      </c>
      <c r="B17" s="5" t="n">
        <f aca="false">AVERAGEIF('Raw Data'!$C$2:$C$181,A17,'Raw Data'!$H$2:$H$181)</f>
        <v>2480</v>
      </c>
    </row>
    <row r="20" customFormat="false" ht="15" hidden="false" customHeight="false" outlineLevel="0" collapsed="false">
      <c r="A20" s="3" t="s">
        <v>22</v>
      </c>
    </row>
    <row r="22" customFormat="false" ht="15" hidden="false" customHeight="false" outlineLevel="0" collapsed="false">
      <c r="A22" s="2" t="s">
        <v>23</v>
      </c>
      <c r="B22" s="6" t="n">
        <f aca="false">AVERAGE('Raw Data'!$H$2:$H$181)</f>
        <v>2402.22722222222</v>
      </c>
    </row>
    <row r="23" customFormat="false" ht="15" hidden="false" customHeight="false" outlineLevel="0" collapsed="false">
      <c r="A23" s="2" t="s">
        <v>24</v>
      </c>
      <c r="B23" s="6" t="n">
        <f aca="false">MAX('Raw Data'!$H$2:$H$181)</f>
        <v>3360.5</v>
      </c>
    </row>
    <row r="24" customFormat="false" ht="15" hidden="false" customHeight="false" outlineLevel="0" collapsed="false">
      <c r="A24" s="2" t="s">
        <v>25</v>
      </c>
      <c r="B24" s="6" t="n">
        <f aca="false">MIN('Raw Data'!$H$2:$H$181)</f>
        <v>1449</v>
      </c>
    </row>
    <row r="25" customFormat="false" ht="15" hidden="false" customHeight="false" outlineLevel="0" collapsed="false">
      <c r="A25" s="2" t="s">
        <v>26</v>
      </c>
      <c r="B25" s="6" t="n">
        <f aca="false">CORREL('Raw Data'!$D$2:$D$181,'Raw Data'!$H$2:$H$181)</f>
        <v>0.403038450305491</v>
      </c>
    </row>
    <row r="26" customFormat="false" ht="15" hidden="false" customHeight="false" outlineLevel="0" collapsed="false">
      <c r="A26" s="2" t="s">
        <v>27</v>
      </c>
      <c r="B26" s="6" t="n">
        <f aca="false">CORREL('Raw Data'!$G$2:$G$181,'Raw Data'!$H$2:$H$181)</f>
        <v>0.460840515119384</v>
      </c>
    </row>
    <row r="27" customFormat="false" ht="15" hidden="false" customHeight="false" outlineLevel="0" collapsed="false">
      <c r="A27" s="2" t="s">
        <v>28</v>
      </c>
      <c r="B27" s="6" t="n">
        <f aca="false">CORREL('Raw Data'!$E$2:$E$181,'Raw Data'!$H$2:$H$181)</f>
        <v>0.581616328025087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6" min="1" style="0" width="18"/>
  </cols>
  <sheetData>
    <row r="1" customFormat="false" ht="17.35" hidden="false" customHeight="false" outlineLevel="0" collapsed="false">
      <c r="A1" s="7" t="s">
        <v>29</v>
      </c>
    </row>
    <row r="3" customFormat="false" ht="15" hidden="false" customHeight="false" outlineLevel="0" collapsed="false">
      <c r="A3" s="3" t="s">
        <v>30</v>
      </c>
    </row>
    <row r="4" customFormat="false" ht="39.75" hidden="false" customHeight="true" outlineLevel="0" collapsed="false">
      <c r="A4" s="8" t="s">
        <v>31</v>
      </c>
      <c r="B4" s="8"/>
      <c r="C4" s="8"/>
      <c r="D4" s="8"/>
      <c r="E4" s="8"/>
      <c r="F4" s="8"/>
    </row>
    <row r="6" customFormat="false" ht="15" hidden="false" customHeight="false" outlineLevel="0" collapsed="false">
      <c r="A6" s="3" t="s">
        <v>32</v>
      </c>
    </row>
    <row r="7" customFormat="false" ht="30" hidden="false" customHeight="true" outlineLevel="0" collapsed="false">
      <c r="A7" s="9" t="s">
        <v>33</v>
      </c>
      <c r="B7" s="9"/>
      <c r="C7" s="9"/>
      <c r="D7" s="9"/>
      <c r="E7" s="9"/>
      <c r="F7" s="9"/>
    </row>
    <row r="8" customFormat="false" ht="30" hidden="false" customHeight="true" outlineLevel="0" collapsed="false">
      <c r="A8" s="9" t="s">
        <v>34</v>
      </c>
      <c r="B8" s="9"/>
      <c r="C8" s="9"/>
      <c r="D8" s="9"/>
      <c r="E8" s="9"/>
      <c r="F8" s="9"/>
    </row>
    <row r="9" customFormat="false" ht="30" hidden="false" customHeight="true" outlineLevel="0" collapsed="false">
      <c r="A9" s="9" t="s">
        <v>35</v>
      </c>
      <c r="B9" s="9"/>
      <c r="C9" s="9"/>
      <c r="D9" s="9"/>
      <c r="E9" s="9"/>
      <c r="F9" s="9"/>
    </row>
    <row r="10" customFormat="false" ht="30" hidden="false" customHeight="true" outlineLevel="0" collapsed="false">
      <c r="A10" s="9" t="s">
        <v>36</v>
      </c>
      <c r="B10" s="9"/>
      <c r="C10" s="9"/>
      <c r="D10" s="9"/>
      <c r="E10" s="9"/>
      <c r="F10" s="9"/>
    </row>
    <row r="13" customFormat="false" ht="15" hidden="false" customHeight="false" outlineLevel="0" collapsed="false">
      <c r="A13" s="3" t="s">
        <v>37</v>
      </c>
    </row>
    <row r="14" customFormat="false" ht="39.75" hidden="false" customHeight="true" outlineLevel="0" collapsed="false">
      <c r="A14" s="8" t="s">
        <v>38</v>
      </c>
      <c r="B14" s="8"/>
      <c r="C14" s="8"/>
      <c r="D14" s="8"/>
      <c r="E14" s="8"/>
      <c r="F14" s="8"/>
    </row>
    <row r="16" customFormat="false" ht="15" hidden="false" customHeight="false" outlineLevel="0" collapsed="false">
      <c r="A16" s="3" t="s">
        <v>39</v>
      </c>
    </row>
    <row r="17" customFormat="false" ht="15" hidden="false" customHeight="false" outlineLevel="0" collapsed="false">
      <c r="A17" s="10" t="s">
        <v>40</v>
      </c>
      <c r="B17" s="10"/>
      <c r="C17" s="10"/>
      <c r="D17" s="10"/>
      <c r="E17" s="10"/>
      <c r="F17" s="10"/>
    </row>
  </sheetData>
  <mergeCells count="7">
    <mergeCell ref="A4:F4"/>
    <mergeCell ref="A7:F7"/>
    <mergeCell ref="A8:F8"/>
    <mergeCell ref="A9:F9"/>
    <mergeCell ref="A10:F10"/>
    <mergeCell ref="A14:F14"/>
    <mergeCell ref="A17: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2026-08-18T03:22:02Z</dcterms:created>
  <dc:creator>openpyxl</dc:creator>
  <dc:description/>
  <dc:language>en-US</dc:language>
  <cp:lastModifiedBy/>
  <dcterms:modified xsi:type="dcterms:W3CDTF">2026-08-18T03:22:07Z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